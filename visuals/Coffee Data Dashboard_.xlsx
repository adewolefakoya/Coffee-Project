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Oyinkansola\Documents\"/>
    </mc:Choice>
  </mc:AlternateContent>
  <xr:revisionPtr revIDLastSave="0" documentId="8_{BF351963-49C0-404F-A27B-1C23DC789B56}" xr6:coauthVersionLast="47" xr6:coauthVersionMax="47" xr10:uidLastSave="{00000000-0000-0000-0000-000000000000}"/>
  <bookViews>
    <workbookView showSheetTabs="0" xWindow="-108" yWindow="-108" windowWidth="23256" windowHeight="12456" xr2:uid="{00000000-000D-0000-FFFF-FFFF00000000}"/>
  </bookViews>
  <sheets>
    <sheet name="Dashboard" sheetId="24" r:id="rId1"/>
    <sheet name="Total Sales" sheetId="18" r:id="rId2"/>
    <sheet name="CountryBarChart" sheetId="20"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001" i="17" l="1"/>
  <c r="P1000" i="17"/>
  <c r="P999" i="17"/>
  <c r="P998" i="17"/>
  <c r="P997" i="17"/>
  <c r="P996" i="17"/>
  <c r="P995" i="17"/>
  <c r="P994" i="17"/>
  <c r="P993" i="17"/>
  <c r="P992" i="17"/>
  <c r="P991" i="17"/>
  <c r="P990" i="17"/>
  <c r="P989" i="17"/>
  <c r="P988" i="17"/>
  <c r="P987" i="17"/>
  <c r="P986" i="17"/>
  <c r="P985" i="17"/>
  <c r="P984" i="17"/>
  <c r="P983" i="17"/>
  <c r="P982" i="17"/>
  <c r="P981" i="17"/>
  <c r="P980" i="17"/>
  <c r="P979" i="17"/>
  <c r="P978" i="17"/>
  <c r="P977" i="17"/>
  <c r="P976" i="17"/>
  <c r="P975" i="17"/>
  <c r="P974" i="17"/>
  <c r="P973" i="17"/>
  <c r="P972" i="17"/>
  <c r="P971" i="17"/>
  <c r="P970" i="17"/>
  <c r="P969" i="17"/>
  <c r="P968" i="17"/>
  <c r="P967" i="17"/>
  <c r="P966" i="17"/>
  <c r="P965" i="17"/>
  <c r="P964" i="17"/>
  <c r="P963" i="17"/>
  <c r="P962" i="17"/>
  <c r="P961" i="17"/>
  <c r="P960" i="17"/>
  <c r="P959" i="17"/>
  <c r="P958" i="17"/>
  <c r="P957" i="17"/>
  <c r="P956" i="17"/>
  <c r="P955" i="17"/>
  <c r="P954" i="17"/>
  <c r="P953" i="17"/>
  <c r="P952" i="17"/>
  <c r="P951" i="17"/>
  <c r="P950" i="17"/>
  <c r="P949" i="17"/>
  <c r="P948" i="17"/>
  <c r="P947" i="17"/>
  <c r="P946" i="17"/>
  <c r="P945" i="17"/>
  <c r="P944" i="17"/>
  <c r="P943" i="17"/>
  <c r="P942" i="17"/>
  <c r="P941" i="17"/>
  <c r="P940" i="17"/>
  <c r="P939" i="17"/>
  <c r="P938" i="17"/>
  <c r="P937" i="17"/>
  <c r="P936" i="17"/>
  <c r="P935" i="17"/>
  <c r="P934" i="17"/>
  <c r="P933" i="17"/>
  <c r="P932" i="17"/>
  <c r="P931" i="17"/>
  <c r="P930" i="17"/>
  <c r="P929" i="17"/>
  <c r="P928" i="17"/>
  <c r="P927" i="17"/>
  <c r="P926" i="17"/>
  <c r="P925" i="17"/>
  <c r="P924" i="17"/>
  <c r="P923" i="17"/>
  <c r="P922" i="17"/>
  <c r="P921" i="17"/>
  <c r="P920" i="17"/>
  <c r="P919" i="17"/>
  <c r="P918" i="17"/>
  <c r="P917" i="17"/>
  <c r="P916" i="17"/>
  <c r="P915" i="17"/>
  <c r="P914" i="17"/>
  <c r="P913" i="17"/>
  <c r="P912" i="17"/>
  <c r="P911" i="17"/>
  <c r="P910" i="17"/>
  <c r="P909" i="17"/>
  <c r="P908" i="17"/>
  <c r="P907" i="17"/>
  <c r="P906" i="17"/>
  <c r="P905" i="17"/>
  <c r="P904" i="17"/>
  <c r="P903" i="17"/>
  <c r="P902"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6" i="17"/>
  <c r="P835" i="17"/>
  <c r="P834" i="17"/>
  <c r="P833" i="17"/>
  <c r="P832" i="17"/>
  <c r="P831" i="17"/>
  <c r="P830" i="17"/>
  <c r="P829" i="17"/>
  <c r="P828" i="17"/>
  <c r="P827" i="17"/>
  <c r="P826" i="17"/>
  <c r="P825" i="17"/>
  <c r="P824" i="17"/>
  <c r="P823" i="17"/>
  <c r="P822" i="17"/>
  <c r="P821" i="17"/>
  <c r="P820" i="17"/>
  <c r="P819" i="17"/>
  <c r="P818" i="17"/>
  <c r="P817" i="17"/>
  <c r="P816" i="17"/>
  <c r="P815" i="17"/>
  <c r="P814" i="17"/>
  <c r="P813" i="17"/>
  <c r="P812" i="17"/>
  <c r="P811" i="17"/>
  <c r="P810" i="17"/>
  <c r="P809" i="17"/>
  <c r="P808" i="17"/>
  <c r="P807" i="17"/>
  <c r="P806" i="17"/>
  <c r="P805" i="17"/>
  <c r="P804" i="17"/>
  <c r="P803" i="17"/>
  <c r="P802" i="17"/>
  <c r="P801" i="17"/>
  <c r="P800" i="17"/>
  <c r="P799" i="17"/>
  <c r="P798" i="17"/>
  <c r="P797" i="17"/>
  <c r="P796" i="17"/>
  <c r="P795" i="17"/>
  <c r="P794" i="17"/>
  <c r="P793" i="17"/>
  <c r="P792" i="17"/>
  <c r="P791" i="17"/>
  <c r="P790" i="17"/>
  <c r="P789" i="17"/>
  <c r="P788" i="17"/>
  <c r="P787" i="17"/>
  <c r="P786" i="17"/>
  <c r="P785" i="17"/>
  <c r="P784" i="17"/>
  <c r="P783" i="17"/>
  <c r="P782" i="17"/>
  <c r="P781" i="17"/>
  <c r="P780" i="17"/>
  <c r="P779" i="17"/>
  <c r="P778" i="17"/>
  <c r="P777" i="17"/>
  <c r="P776" i="17"/>
  <c r="P775" i="17"/>
  <c r="P774" i="17"/>
  <c r="P773" i="17"/>
  <c r="P772" i="17"/>
  <c r="P771" i="17"/>
  <c r="P770" i="17"/>
  <c r="P769" i="17"/>
  <c r="P768" i="17"/>
  <c r="P767" i="17"/>
  <c r="P766" i="17"/>
  <c r="P765" i="17"/>
  <c r="P764" i="17"/>
  <c r="P763" i="17"/>
  <c r="P762" i="17"/>
  <c r="P761" i="17"/>
  <c r="P760" i="17"/>
  <c r="P759" i="17"/>
  <c r="P758" i="17"/>
  <c r="P757" i="17"/>
  <c r="P756" i="17"/>
  <c r="P755" i="17"/>
  <c r="P754" i="17"/>
  <c r="P753" i="17"/>
  <c r="P752" i="17"/>
  <c r="P751" i="17"/>
  <c r="P750" i="17"/>
  <c r="P749" i="17"/>
  <c r="P748" i="17"/>
  <c r="P747" i="17"/>
  <c r="P746" i="17"/>
  <c r="P745" i="17"/>
  <c r="P744" i="17"/>
  <c r="P743" i="17"/>
  <c r="P742" i="17"/>
  <c r="P741" i="17"/>
  <c r="P740" i="17"/>
  <c r="P739" i="17"/>
  <c r="P738" i="17"/>
  <c r="P737" i="17"/>
  <c r="P736" i="17"/>
  <c r="P735" i="17"/>
  <c r="P734" i="17"/>
  <c r="P733" i="17"/>
  <c r="P732" i="17"/>
  <c r="P731" i="17"/>
  <c r="P730" i="17"/>
  <c r="P729" i="17"/>
  <c r="P728" i="17"/>
  <c r="P727" i="17"/>
  <c r="P726" i="17"/>
  <c r="P725" i="17"/>
  <c r="P724" i="17"/>
  <c r="P723" i="17"/>
  <c r="P722" i="17"/>
  <c r="P721" i="17"/>
  <c r="P720" i="17"/>
  <c r="P719" i="17"/>
  <c r="P718" i="17"/>
  <c r="P717" i="17"/>
  <c r="P716" i="17"/>
  <c r="P715" i="17"/>
  <c r="P714" i="17"/>
  <c r="P713" i="17"/>
  <c r="P712" i="17"/>
  <c r="P711" i="17"/>
  <c r="P710" i="17"/>
  <c r="P709" i="17"/>
  <c r="P708" i="17"/>
  <c r="P707" i="17"/>
  <c r="P706" i="17"/>
  <c r="P705" i="17"/>
  <c r="P704" i="17"/>
  <c r="P703" i="17"/>
  <c r="P702" i="17"/>
  <c r="P701" i="17"/>
  <c r="P700" i="17"/>
  <c r="P699" i="17"/>
  <c r="P698" i="17"/>
  <c r="P697" i="17"/>
  <c r="P696" i="17"/>
  <c r="P695" i="17"/>
  <c r="P694" i="17"/>
  <c r="P693" i="17"/>
  <c r="P692" i="17"/>
  <c r="P691" i="17"/>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604" i="17"/>
  <c r="P603" i="17"/>
  <c r="P602" i="17"/>
  <c r="P601" i="17"/>
  <c r="P600" i="17"/>
  <c r="P599" i="17"/>
  <c r="P598" i="17"/>
  <c r="P597" i="17"/>
  <c r="P596" i="17"/>
  <c r="P595" i="17"/>
  <c r="P594" i="17"/>
  <c r="P593" i="17"/>
  <c r="P592" i="17"/>
  <c r="P591" i="17"/>
  <c r="P590" i="17"/>
  <c r="P589" i="17"/>
  <c r="P588" i="17"/>
  <c r="P587" i="17"/>
  <c r="P586" i="17"/>
  <c r="P585" i="17"/>
  <c r="P584" i="17"/>
  <c r="P583" i="17"/>
  <c r="P582" i="17"/>
  <c r="P581" i="17"/>
  <c r="P580" i="17"/>
  <c r="P579" i="17"/>
  <c r="P578" i="17"/>
  <c r="P577" i="17"/>
  <c r="P576" i="17"/>
  <c r="P575" i="17"/>
  <c r="P574" i="17"/>
  <c r="P573" i="17"/>
  <c r="P572" i="17"/>
  <c r="P571" i="17"/>
  <c r="P570" i="17"/>
  <c r="P569" i="17"/>
  <c r="P568" i="17"/>
  <c r="P567" i="17"/>
  <c r="P566" i="17"/>
  <c r="P565" i="17"/>
  <c r="P564" i="17"/>
  <c r="P563" i="17"/>
  <c r="P562" i="17"/>
  <c r="P561" i="17"/>
  <c r="P560" i="17"/>
  <c r="P559" i="17"/>
  <c r="P558" i="17"/>
  <c r="P557" i="17"/>
  <c r="P556" i="17"/>
  <c r="P555" i="17"/>
  <c r="P554" i="17"/>
  <c r="P553" i="17"/>
  <c r="P552" i="17"/>
  <c r="P551" i="17"/>
  <c r="P550" i="17"/>
  <c r="P549" i="17"/>
  <c r="P548" i="17"/>
  <c r="P547" i="17"/>
  <c r="P546" i="17"/>
  <c r="P545" i="17"/>
  <c r="P544" i="17"/>
  <c r="P543" i="17"/>
  <c r="P542" i="17"/>
  <c r="P541" i="17"/>
  <c r="P540" i="17"/>
  <c r="P539" i="17"/>
  <c r="P538" i="17"/>
  <c r="P537" i="17"/>
  <c r="P536" i="17"/>
  <c r="P535" i="17"/>
  <c r="P534" i="17"/>
  <c r="P533" i="17"/>
  <c r="P532" i="17"/>
  <c r="P531" i="17"/>
  <c r="P530" i="17"/>
  <c r="P529" i="17"/>
  <c r="P528" i="17"/>
  <c r="P527" i="17"/>
  <c r="P526" i="17"/>
  <c r="P525" i="17"/>
  <c r="P524" i="17"/>
  <c r="P523" i="17"/>
  <c r="P522" i="17"/>
  <c r="P521" i="17"/>
  <c r="P520" i="17"/>
  <c r="P519" i="17"/>
  <c r="P518" i="17"/>
  <c r="P517" i="17"/>
  <c r="P516" i="17"/>
  <c r="P515" i="17"/>
  <c r="P514" i="17"/>
  <c r="P513" i="17"/>
  <c r="P512" i="17"/>
  <c r="P511" i="17"/>
  <c r="P510" i="17"/>
  <c r="P509" i="17"/>
  <c r="P508" i="17"/>
  <c r="P507" i="17"/>
  <c r="P506" i="17"/>
  <c r="P505" i="17"/>
  <c r="P504" i="17"/>
  <c r="P503" i="17"/>
  <c r="P502" i="17"/>
  <c r="P501" i="17"/>
  <c r="P500" i="17"/>
  <c r="P499" i="17"/>
  <c r="P498" i="17"/>
  <c r="P497" i="17"/>
  <c r="P496" i="17"/>
  <c r="P495" i="17"/>
  <c r="P494" i="17"/>
  <c r="P493" i="17"/>
  <c r="P492" i="17"/>
  <c r="P491" i="17"/>
  <c r="P490" i="17"/>
  <c r="P489" i="17"/>
  <c r="P488" i="17"/>
  <c r="P487" i="17"/>
  <c r="P486" i="17"/>
  <c r="P485" i="17"/>
  <c r="P484" i="17"/>
  <c r="P483" i="17"/>
  <c r="P482" i="17"/>
  <c r="P481" i="17"/>
  <c r="P480" i="17"/>
  <c r="P479" i="17"/>
  <c r="P478" i="17"/>
  <c r="P477" i="17"/>
  <c r="P476" i="17"/>
  <c r="P475" i="17"/>
  <c r="P474" i="17"/>
  <c r="P473" i="17"/>
  <c r="P472" i="17"/>
  <c r="P471" i="17"/>
  <c r="P470" i="17"/>
  <c r="P469" i="17"/>
  <c r="P468" i="17"/>
  <c r="P467" i="17"/>
  <c r="P466" i="17"/>
  <c r="P465" i="17"/>
  <c r="P464" i="17"/>
  <c r="P463" i="17"/>
  <c r="P462" i="17"/>
  <c r="P461" i="17"/>
  <c r="P460" i="17"/>
  <c r="P459" i="17"/>
  <c r="P458" i="17"/>
  <c r="P457" i="17"/>
  <c r="P456" i="17"/>
  <c r="P455" i="17"/>
  <c r="P454" i="17"/>
  <c r="P453" i="17"/>
  <c r="P452" i="17"/>
  <c r="P451" i="17"/>
  <c r="P450" i="17"/>
  <c r="P449" i="17"/>
  <c r="P448" i="17"/>
  <c r="P447" i="17"/>
  <c r="P446" i="17"/>
  <c r="P445" i="17"/>
  <c r="P444" i="17"/>
  <c r="P443" i="17"/>
  <c r="P442" i="17"/>
  <c r="P441" i="17"/>
  <c r="P440" i="17"/>
  <c r="P439" i="17"/>
  <c r="P438" i="17"/>
  <c r="P437" i="17"/>
  <c r="P436" i="17"/>
  <c r="P435" i="17"/>
  <c r="P434" i="17"/>
  <c r="P433" i="17"/>
  <c r="P432" i="17"/>
  <c r="P431" i="17"/>
  <c r="P430" i="17"/>
  <c r="P429" i="17"/>
  <c r="P428" i="17"/>
  <c r="P427" i="17"/>
  <c r="P426" i="17"/>
  <c r="P425" i="17"/>
  <c r="P424" i="17"/>
  <c r="P423" i="17"/>
  <c r="P422" i="17"/>
  <c r="P421" i="17"/>
  <c r="P420" i="17"/>
  <c r="P419" i="17"/>
  <c r="P418" i="17"/>
  <c r="P417" i="17"/>
  <c r="P416" i="17"/>
  <c r="P415" i="17"/>
  <c r="P414" i="17"/>
  <c r="P413" i="17"/>
  <c r="P412" i="17"/>
  <c r="P411" i="17"/>
  <c r="P410" i="17"/>
  <c r="P409" i="17"/>
  <c r="P408" i="17"/>
  <c r="P407" i="17"/>
  <c r="P406" i="17"/>
  <c r="P405" i="17"/>
  <c r="P404" i="17"/>
  <c r="P403" i="17"/>
  <c r="P402" i="17"/>
  <c r="P401" i="17"/>
  <c r="P400" i="17"/>
  <c r="P399" i="17"/>
  <c r="P398" i="17"/>
  <c r="P397" i="17"/>
  <c r="P396" i="17"/>
  <c r="P395" i="17"/>
  <c r="P394" i="17"/>
  <c r="P393" i="17"/>
  <c r="P392" i="17"/>
  <c r="P391" i="17"/>
  <c r="P390" i="17"/>
  <c r="P389" i="17"/>
  <c r="P388" i="17"/>
  <c r="P387" i="17"/>
  <c r="P386" i="17"/>
  <c r="P385" i="17"/>
  <c r="P384" i="17"/>
  <c r="P383" i="17"/>
  <c r="P382" i="17"/>
  <c r="P381" i="17"/>
  <c r="P380" i="17"/>
  <c r="P379" i="17"/>
  <c r="P378" i="17"/>
  <c r="P377" i="17"/>
  <c r="P376" i="17"/>
  <c r="P375" i="17"/>
  <c r="P374" i="17"/>
  <c r="P373" i="17"/>
  <c r="P372" i="17"/>
  <c r="P371" i="17"/>
  <c r="P370" i="17"/>
  <c r="P369" i="17"/>
  <c r="P368" i="17"/>
  <c r="P367" i="17"/>
  <c r="P366" i="17"/>
  <c r="P365" i="17"/>
  <c r="P364" i="17"/>
  <c r="P363" i="17"/>
  <c r="P362" i="17"/>
  <c r="P361" i="17"/>
  <c r="P360" i="17"/>
  <c r="P359" i="17"/>
  <c r="P358" i="17"/>
  <c r="P357" i="17"/>
  <c r="P356" i="17"/>
  <c r="P355" i="17"/>
  <c r="P354" i="17"/>
  <c r="P353" i="17"/>
  <c r="P352" i="17"/>
  <c r="P351" i="17"/>
  <c r="P350" i="17"/>
  <c r="P349" i="17"/>
  <c r="P348" i="17"/>
  <c r="P347" i="17"/>
  <c r="P346" i="17"/>
  <c r="P345" i="17"/>
  <c r="P344" i="17"/>
  <c r="P343" i="17"/>
  <c r="P342" i="17"/>
  <c r="P341" i="17"/>
  <c r="P340" i="17"/>
  <c r="P339" i="17"/>
  <c r="P338" i="17"/>
  <c r="P337" i="17"/>
  <c r="P336" i="17"/>
  <c r="P335" i="17"/>
  <c r="P334" i="17"/>
  <c r="P333" i="17"/>
  <c r="P332" i="17"/>
  <c r="P331" i="17"/>
  <c r="P330" i="17"/>
  <c r="P329" i="17"/>
  <c r="P328" i="17"/>
  <c r="P327" i="17"/>
  <c r="P326" i="17"/>
  <c r="P325" i="17"/>
  <c r="P324" i="17"/>
  <c r="P323" i="17"/>
  <c r="P322" i="17"/>
  <c r="P321" i="17"/>
  <c r="P320" i="17"/>
  <c r="P319" i="17"/>
  <c r="P318" i="17"/>
  <c r="P317" i="17"/>
  <c r="P316" i="17"/>
  <c r="P315" i="17"/>
  <c r="P314" i="17"/>
  <c r="P313" i="17"/>
  <c r="P312" i="17"/>
  <c r="P311" i="17"/>
  <c r="P310" i="17"/>
  <c r="P309" i="17"/>
  <c r="P308" i="17"/>
  <c r="P307" i="17"/>
  <c r="P306" i="17"/>
  <c r="P305" i="17"/>
  <c r="P304" i="17"/>
  <c r="P303" i="17"/>
  <c r="P302" i="17"/>
  <c r="P301" i="17"/>
  <c r="P300" i="17"/>
  <c r="P299" i="17"/>
  <c r="P298" i="17"/>
  <c r="P297" i="17"/>
  <c r="P296" i="17"/>
  <c r="P295" i="17"/>
  <c r="P294" i="17"/>
  <c r="P293" i="17"/>
  <c r="P292" i="17"/>
  <c r="P291" i="17"/>
  <c r="P290" i="17"/>
  <c r="P289" i="17"/>
  <c r="P288" i="17"/>
  <c r="P287" i="17"/>
  <c r="P286" i="17"/>
  <c r="P285" i="17"/>
  <c r="P284" i="17"/>
  <c r="P283" i="17"/>
  <c r="P282" i="17"/>
  <c r="P281" i="17"/>
  <c r="P280" i="17"/>
  <c r="P279" i="17"/>
  <c r="P278" i="17"/>
  <c r="P277" i="17"/>
  <c r="P276" i="17"/>
  <c r="P275" i="17"/>
  <c r="P274" i="17"/>
  <c r="P273" i="17"/>
  <c r="P272" i="17"/>
  <c r="P271" i="17"/>
  <c r="P270" i="17"/>
  <c r="P269" i="17"/>
  <c r="P268" i="17"/>
  <c r="P267" i="17"/>
  <c r="P266" i="17"/>
  <c r="P265" i="17"/>
  <c r="P264" i="17"/>
  <c r="P263" i="17"/>
  <c r="P262" i="17"/>
  <c r="P261" i="17"/>
  <c r="P260" i="17"/>
  <c r="P259" i="17"/>
  <c r="P258" i="17"/>
  <c r="P257" i="17"/>
  <c r="P256" i="17"/>
  <c r="P255" i="17"/>
  <c r="P254" i="17"/>
  <c r="P253" i="17"/>
  <c r="P252" i="17"/>
  <c r="P251" i="17"/>
  <c r="P250" i="17"/>
  <c r="P249" i="17"/>
  <c r="P248" i="17"/>
  <c r="P247" i="17"/>
  <c r="P246" i="17"/>
  <c r="P245" i="17"/>
  <c r="P244" i="17"/>
  <c r="P243" i="17"/>
  <c r="P242" i="17"/>
  <c r="P241" i="17"/>
  <c r="P240" i="17"/>
  <c r="P239" i="17"/>
  <c r="P238" i="17"/>
  <c r="P237" i="17"/>
  <c r="P236" i="17"/>
  <c r="P235" i="17"/>
  <c r="P234" i="17"/>
  <c r="P233" i="17"/>
  <c r="P232" i="17"/>
  <c r="P231" i="17"/>
  <c r="P230" i="17"/>
  <c r="P229" i="17"/>
  <c r="P228" i="17"/>
  <c r="P227" i="17"/>
  <c r="P226" i="17"/>
  <c r="P225" i="17"/>
  <c r="P224" i="17"/>
  <c r="P223" i="17"/>
  <c r="P222" i="17"/>
  <c r="P221" i="17"/>
  <c r="P220" i="17"/>
  <c r="P219" i="17"/>
  <c r="P218" i="17"/>
  <c r="P217" i="17"/>
  <c r="P216" i="17"/>
  <c r="P215" i="17"/>
  <c r="P214" i="17"/>
  <c r="P213" i="17"/>
  <c r="P212" i="17"/>
  <c r="P211" i="17"/>
  <c r="P210" i="17"/>
  <c r="P209" i="17"/>
  <c r="P208" i="17"/>
  <c r="P207" i="17"/>
  <c r="P206" i="17"/>
  <c r="P205" i="17"/>
  <c r="P204" i="17"/>
  <c r="P203" i="17"/>
  <c r="P202" i="17"/>
  <c r="P201" i="17"/>
  <c r="P200" i="17"/>
  <c r="P199" i="17"/>
  <c r="P198" i="17"/>
  <c r="P197" i="17"/>
  <c r="P196" i="17"/>
  <c r="P195" i="17"/>
  <c r="P194" i="17"/>
  <c r="P193" i="17"/>
  <c r="P192" i="17"/>
  <c r="P191" i="17"/>
  <c r="P190" i="17"/>
  <c r="P189" i="17"/>
  <c r="P188" i="17"/>
  <c r="P187" i="17"/>
  <c r="P186" i="17"/>
  <c r="P185" i="17"/>
  <c r="P184" i="17"/>
  <c r="P183" i="17"/>
  <c r="P182" i="17"/>
  <c r="P181" i="17"/>
  <c r="P180" i="17"/>
  <c r="P179" i="17"/>
  <c r="P178" i="17"/>
  <c r="P177" i="17"/>
  <c r="P176" i="17"/>
  <c r="P175" i="17"/>
  <c r="P174" i="17"/>
  <c r="P173" i="17"/>
  <c r="P172" i="17"/>
  <c r="P171" i="17"/>
  <c r="P170" i="17"/>
  <c r="P169" i="17"/>
  <c r="P168" i="17"/>
  <c r="P167" i="17"/>
  <c r="P166" i="17"/>
  <c r="P165" i="17"/>
  <c r="P164" i="17"/>
  <c r="P163" i="17"/>
  <c r="P162" i="17"/>
  <c r="P161" i="17"/>
  <c r="P160" i="17"/>
  <c r="P159" i="17"/>
  <c r="P158" i="17"/>
  <c r="P157" i="17"/>
  <c r="P156" i="17"/>
  <c r="P155" i="17"/>
  <c r="P154" i="17"/>
  <c r="P153" i="17"/>
  <c r="P152" i="17"/>
  <c r="P151" i="17"/>
  <c r="P150" i="17"/>
  <c r="P149" i="17"/>
  <c r="P148" i="17"/>
  <c r="P147" i="17"/>
  <c r="P146" i="17"/>
  <c r="P145" i="17"/>
  <c r="P144" i="17"/>
  <c r="P143" i="17"/>
  <c r="P142" i="17"/>
  <c r="P141" i="17"/>
  <c r="P140" i="17"/>
  <c r="P139" i="17"/>
  <c r="P138" i="17"/>
  <c r="P137" i="17"/>
  <c r="P136" i="17"/>
  <c r="P135" i="17"/>
  <c r="P134" i="17"/>
  <c r="P133" i="17"/>
  <c r="P132" i="17"/>
  <c r="P131" i="17"/>
  <c r="P130" i="17"/>
  <c r="P129" i="17"/>
  <c r="P128" i="17"/>
  <c r="P127" i="17"/>
  <c r="P126" i="17"/>
  <c r="P125" i="17"/>
  <c r="P124" i="17"/>
  <c r="P123" i="17"/>
  <c r="P122" i="17"/>
  <c r="P121" i="17"/>
  <c r="P120" i="17"/>
  <c r="P119" i="17"/>
  <c r="P118" i="17"/>
  <c r="P117" i="17"/>
  <c r="P116" i="17"/>
  <c r="P115" i="17"/>
  <c r="P114" i="17"/>
  <c r="P113" i="17"/>
  <c r="P112" i="17"/>
  <c r="P111" i="17"/>
  <c r="P110" i="17"/>
  <c r="P109" i="17"/>
  <c r="P108" i="17"/>
  <c r="P107" i="17"/>
  <c r="P106" i="17"/>
  <c r="P105" i="17"/>
  <c r="P104" i="17"/>
  <c r="P103" i="17"/>
  <c r="P102" i="17"/>
  <c r="P101" i="17"/>
  <c r="P100" i="17"/>
  <c r="P99" i="17"/>
  <c r="P98" i="17"/>
  <c r="P97" i="17"/>
  <c r="P96" i="17"/>
  <c r="P95" i="17"/>
  <c r="P94" i="17"/>
  <c r="P93" i="17"/>
  <c r="P92" i="17"/>
  <c r="P91" i="17"/>
  <c r="P90" i="17"/>
  <c r="P89" i="17"/>
  <c r="P88" i="17"/>
  <c r="P87" i="17"/>
  <c r="P86" i="17"/>
  <c r="P85" i="17"/>
  <c r="P84" i="17"/>
  <c r="P83" i="17"/>
  <c r="P82" i="17"/>
  <c r="P81" i="17"/>
  <c r="P80" i="17"/>
  <c r="P79" i="17"/>
  <c r="P78" i="17"/>
  <c r="P77" i="17"/>
  <c r="P76" i="17"/>
  <c r="P75" i="17"/>
  <c r="P74" i="17"/>
  <c r="P73" i="17"/>
  <c r="P72" i="17"/>
  <c r="P71" i="17"/>
  <c r="P70" i="17"/>
  <c r="P69" i="17"/>
  <c r="P68" i="17"/>
  <c r="P67" i="17"/>
  <c r="P66" i="17"/>
  <c r="P65" i="17"/>
  <c r="P64" i="17"/>
  <c r="P63" i="17"/>
  <c r="P62" i="17"/>
  <c r="P61" i="17"/>
  <c r="P60" i="17"/>
  <c r="P59" i="17"/>
  <c r="P58" i="17"/>
  <c r="P57" i="17"/>
  <c r="P56" i="17"/>
  <c r="P55" i="17"/>
  <c r="P54" i="17"/>
  <c r="P53" i="17"/>
  <c r="P52" i="17"/>
  <c r="P51" i="17"/>
  <c r="P50" i="17"/>
  <c r="P49" i="17"/>
  <c r="P48" i="17"/>
  <c r="P47" i="17"/>
  <c r="P46" i="17"/>
  <c r="P45" i="17"/>
  <c r="P44" i="17"/>
  <c r="P43" i="17"/>
  <c r="P42" i="17"/>
  <c r="P41" i="17"/>
  <c r="P40" i="17"/>
  <c r="P39" i="17"/>
  <c r="P38" i="17"/>
  <c r="P37" i="17"/>
  <c r="P36" i="17"/>
  <c r="P35" i="17"/>
  <c r="P34" i="17"/>
  <c r="P33" i="17"/>
  <c r="P32" i="17"/>
  <c r="P31" i="17"/>
  <c r="P30" i="17"/>
  <c r="P29" i="17"/>
  <c r="P28" i="17"/>
  <c r="P27" i="17"/>
  <c r="P26" i="17"/>
  <c r="P25" i="17"/>
  <c r="P24" i="17"/>
  <c r="P23" i="17"/>
  <c r="P22" i="17"/>
  <c r="P21" i="17"/>
  <c r="P20" i="17"/>
  <c r="P19" i="17"/>
  <c r="P18" i="17"/>
  <c r="P17" i="17"/>
  <c r="P16" i="17"/>
  <c r="P15" i="17"/>
  <c r="P14" i="17"/>
  <c r="P13" i="17"/>
  <c r="P12" i="17"/>
  <c r="P11" i="17"/>
  <c r="P10" i="17"/>
  <c r="P9" i="17"/>
  <c r="P8" i="17"/>
  <c r="P7" i="17"/>
  <c r="P6" i="17"/>
  <c r="P5" i="17"/>
  <c r="P4" i="17"/>
  <c r="P3" i="17"/>
  <c r="P2" i="17"/>
  <c r="L2" i="17"/>
  <c r="K2" i="17"/>
  <c r="M33" i="17"/>
  <c r="M65" i="17"/>
  <c r="M97" i="17"/>
  <c r="M129" i="17"/>
  <c r="M161" i="17"/>
  <c r="M193" i="17"/>
  <c r="M225" i="17"/>
  <c r="M257" i="17"/>
  <c r="M289" i="17"/>
  <c r="M321" i="17"/>
  <c r="M353" i="17"/>
  <c r="M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I2" i="17"/>
  <c r="N2" i="17" s="1"/>
  <c r="H1001" i="17"/>
  <c r="H1000" i="17"/>
  <c r="H999" i="17"/>
  <c r="H998" i="17"/>
  <c r="H997" i="17"/>
  <c r="H996" i="17"/>
  <c r="H995" i="17"/>
  <c r="H994" i="17"/>
  <c r="H993" i="17"/>
  <c r="H992" i="17"/>
  <c r="H991" i="17"/>
  <c r="H990" i="17"/>
  <c r="H989" i="17"/>
  <c r="H988" i="17"/>
  <c r="H987" i="17"/>
  <c r="H986" i="17"/>
  <c r="H985" i="17"/>
  <c r="H984" i="17"/>
  <c r="H983" i="17"/>
  <c r="H982" i="17"/>
  <c r="H981" i="17"/>
  <c r="H980" i="17"/>
  <c r="H979" i="17"/>
  <c r="H978" i="17"/>
  <c r="H977" i="17"/>
  <c r="H976" i="17"/>
  <c r="H975" i="17"/>
  <c r="H974" i="17"/>
  <c r="H973" i="17"/>
  <c r="H972" i="17"/>
  <c r="H971" i="17"/>
  <c r="H970" i="17"/>
  <c r="H969" i="17"/>
  <c r="H968" i="17"/>
  <c r="H967" i="17"/>
  <c r="H966" i="17"/>
  <c r="H965" i="17"/>
  <c r="H964" i="17"/>
  <c r="H963" i="17"/>
  <c r="H962" i="17"/>
  <c r="H961" i="17"/>
  <c r="H960" i="17"/>
  <c r="H959" i="17"/>
  <c r="H958" i="17"/>
  <c r="H957" i="17"/>
  <c r="H956" i="17"/>
  <c r="H955" i="17"/>
  <c r="H954" i="17"/>
  <c r="H953" i="17"/>
  <c r="H952" i="17"/>
  <c r="H951" i="17"/>
  <c r="H950" i="17"/>
  <c r="H949" i="17"/>
  <c r="H948" i="17"/>
  <c r="H947" i="17"/>
  <c r="H946" i="17"/>
  <c r="H945" i="17"/>
  <c r="H944" i="17"/>
  <c r="H943" i="17"/>
  <c r="H942" i="17"/>
  <c r="H941" i="17"/>
  <c r="H940" i="17"/>
  <c r="H939" i="17"/>
  <c r="H938" i="17"/>
  <c r="H937" i="17"/>
  <c r="H936" i="17"/>
  <c r="H935" i="17"/>
  <c r="H934" i="17"/>
  <c r="H933" i="17"/>
  <c r="H932" i="17"/>
  <c r="H931" i="17"/>
  <c r="H930" i="17"/>
  <c r="H929" i="17"/>
  <c r="H928" i="17"/>
  <c r="H927" i="17"/>
  <c r="H926" i="17"/>
  <c r="H925" i="17"/>
  <c r="H924" i="17"/>
  <c r="H923" i="17"/>
  <c r="H922" i="17"/>
  <c r="H921" i="17"/>
  <c r="H920" i="17"/>
  <c r="H919" i="17"/>
  <c r="H918" i="17"/>
  <c r="H917" i="17"/>
  <c r="H916" i="17"/>
  <c r="H915" i="17"/>
  <c r="H914" i="17"/>
  <c r="H913" i="17"/>
  <c r="H912" i="17"/>
  <c r="H911" i="17"/>
  <c r="H910" i="17"/>
  <c r="H909" i="17"/>
  <c r="H908" i="17"/>
  <c r="H907" i="17"/>
  <c r="H906" i="17"/>
  <c r="H905" i="17"/>
  <c r="H904" i="17"/>
  <c r="H903" i="17"/>
  <c r="H902" i="17"/>
  <c r="H901" i="17"/>
  <c r="H900" i="17"/>
  <c r="H899" i="17"/>
  <c r="H898" i="17"/>
  <c r="H897" i="17"/>
  <c r="H896" i="17"/>
  <c r="H895" i="17"/>
  <c r="H894" i="17"/>
  <c r="H893" i="17"/>
  <c r="H892" i="17"/>
  <c r="H891" i="17"/>
  <c r="H890" i="17"/>
  <c r="H889" i="17"/>
  <c r="H888" i="17"/>
  <c r="H887" i="17"/>
  <c r="H886" i="17"/>
  <c r="H885" i="17"/>
  <c r="H884" i="17"/>
  <c r="H883" i="17"/>
  <c r="H882" i="17"/>
  <c r="H881" i="17"/>
  <c r="H880" i="17"/>
  <c r="H879" i="17"/>
  <c r="H878" i="17"/>
  <c r="H877" i="17"/>
  <c r="H876" i="17"/>
  <c r="H875" i="17"/>
  <c r="H874" i="17"/>
  <c r="H873" i="17"/>
  <c r="H872" i="17"/>
  <c r="H871" i="17"/>
  <c r="H870" i="17"/>
  <c r="H869" i="17"/>
  <c r="H868" i="17"/>
  <c r="H867" i="17"/>
  <c r="H866" i="17"/>
  <c r="H865" i="17"/>
  <c r="H864" i="17"/>
  <c r="H863" i="17"/>
  <c r="H862" i="17"/>
  <c r="H861" i="17"/>
  <c r="H860" i="17"/>
  <c r="H859" i="17"/>
  <c r="H858" i="17"/>
  <c r="H857" i="17"/>
  <c r="H856" i="17"/>
  <c r="H855" i="17"/>
  <c r="H854" i="17"/>
  <c r="H853" i="17"/>
  <c r="H852" i="17"/>
  <c r="H851" i="17"/>
  <c r="H850" i="17"/>
  <c r="H849" i="17"/>
  <c r="H848" i="17"/>
  <c r="H847" i="17"/>
  <c r="H846" i="17"/>
  <c r="H845" i="17"/>
  <c r="H844" i="17"/>
  <c r="H843" i="17"/>
  <c r="H842" i="17"/>
  <c r="H841" i="17"/>
  <c r="H840" i="17"/>
  <c r="H839" i="17"/>
  <c r="H838" i="17"/>
  <c r="H837" i="17"/>
  <c r="H836" i="17"/>
  <c r="H835" i="17"/>
  <c r="H834" i="17"/>
  <c r="H833" i="17"/>
  <c r="H832" i="17"/>
  <c r="H831" i="17"/>
  <c r="H830" i="17"/>
  <c r="H829" i="17"/>
  <c r="H828" i="17"/>
  <c r="H827" i="17"/>
  <c r="H826" i="17"/>
  <c r="H825" i="17"/>
  <c r="H824" i="17"/>
  <c r="H823" i="17"/>
  <c r="H822" i="17"/>
  <c r="H821" i="17"/>
  <c r="H820" i="17"/>
  <c r="H819" i="17"/>
  <c r="H818" i="17"/>
  <c r="H817" i="17"/>
  <c r="H816" i="17"/>
  <c r="H815" i="17"/>
  <c r="H814" i="17"/>
  <c r="H813" i="17"/>
  <c r="H812" i="17"/>
  <c r="H811" i="17"/>
  <c r="H810" i="17"/>
  <c r="H809" i="17"/>
  <c r="H808" i="17"/>
  <c r="H807" i="17"/>
  <c r="H806" i="17"/>
  <c r="H805" i="17"/>
  <c r="H804" i="17"/>
  <c r="H803" i="17"/>
  <c r="H802" i="17"/>
  <c r="H801" i="17"/>
  <c r="H800" i="17"/>
  <c r="H799" i="17"/>
  <c r="H798" i="17"/>
  <c r="H797" i="17"/>
  <c r="H796" i="17"/>
  <c r="H795" i="17"/>
  <c r="H794" i="17"/>
  <c r="H793" i="17"/>
  <c r="H792" i="17"/>
  <c r="H791" i="17"/>
  <c r="H790" i="17"/>
  <c r="H789" i="17"/>
  <c r="H788" i="17"/>
  <c r="H787" i="17"/>
  <c r="H786" i="17"/>
  <c r="H785" i="17"/>
  <c r="H784" i="17"/>
  <c r="H783" i="17"/>
  <c r="H782" i="17"/>
  <c r="H781" i="17"/>
  <c r="H780" i="17"/>
  <c r="H779" i="17"/>
  <c r="H778" i="17"/>
  <c r="H777" i="17"/>
  <c r="H776" i="17"/>
  <c r="H775" i="17"/>
  <c r="H774" i="17"/>
  <c r="H773" i="17"/>
  <c r="H772" i="17"/>
  <c r="H771" i="17"/>
  <c r="H770" i="17"/>
  <c r="H769" i="17"/>
  <c r="H768" i="17"/>
  <c r="H767" i="17"/>
  <c r="H766" i="17"/>
  <c r="H765" i="17"/>
  <c r="H764" i="17"/>
  <c r="H763" i="17"/>
  <c r="H762" i="17"/>
  <c r="H761" i="17"/>
  <c r="H760" i="17"/>
  <c r="H759" i="17"/>
  <c r="H758" i="17"/>
  <c r="H757" i="17"/>
  <c r="H756" i="17"/>
  <c r="H755" i="17"/>
  <c r="H754" i="17"/>
  <c r="H753" i="17"/>
  <c r="H752" i="17"/>
  <c r="H751" i="17"/>
  <c r="H750" i="17"/>
  <c r="H749" i="17"/>
  <c r="H748" i="17"/>
  <c r="H747" i="17"/>
  <c r="H746" i="17"/>
  <c r="H745" i="17"/>
  <c r="H744" i="17"/>
  <c r="H743" i="17"/>
  <c r="H742" i="17"/>
  <c r="H741" i="17"/>
  <c r="H740" i="17"/>
  <c r="H739" i="17"/>
  <c r="H738" i="17"/>
  <c r="H737" i="17"/>
  <c r="H736" i="17"/>
  <c r="H735" i="17"/>
  <c r="H734" i="17"/>
  <c r="H733" i="17"/>
  <c r="H732" i="17"/>
  <c r="H731" i="17"/>
  <c r="H730" i="17"/>
  <c r="H729" i="17"/>
  <c r="H728" i="17"/>
  <c r="H727" i="17"/>
  <c r="H726" i="17"/>
  <c r="H725" i="17"/>
  <c r="H724" i="17"/>
  <c r="H723" i="17"/>
  <c r="H722" i="17"/>
  <c r="H721" i="17"/>
  <c r="H720" i="17"/>
  <c r="H719" i="17"/>
  <c r="H718" i="17"/>
  <c r="H717" i="17"/>
  <c r="H716" i="17"/>
  <c r="H715" i="17"/>
  <c r="H714" i="17"/>
  <c r="H713" i="17"/>
  <c r="H712" i="17"/>
  <c r="H711" i="17"/>
  <c r="H710" i="17"/>
  <c r="H709" i="17"/>
  <c r="H708" i="17"/>
  <c r="H707" i="17"/>
  <c r="H706" i="17"/>
  <c r="H705" i="17"/>
  <c r="H704" i="17"/>
  <c r="H703" i="17"/>
  <c r="H702" i="17"/>
  <c r="H701" i="17"/>
  <c r="H700" i="17"/>
  <c r="H699" i="17"/>
  <c r="H698" i="17"/>
  <c r="H697" i="17"/>
  <c r="H696" i="17"/>
  <c r="H695" i="17"/>
  <c r="H694" i="17"/>
  <c r="H693" i="17"/>
  <c r="H692" i="17"/>
  <c r="H691" i="17"/>
  <c r="H690" i="17"/>
  <c r="H689" i="17"/>
  <c r="H688" i="17"/>
  <c r="H687" i="17"/>
  <c r="H686" i="17"/>
  <c r="H685" i="17"/>
  <c r="H684" i="17"/>
  <c r="H683" i="17"/>
  <c r="H682" i="17"/>
  <c r="H681" i="17"/>
  <c r="H680" i="17"/>
  <c r="H679" i="17"/>
  <c r="H678" i="17"/>
  <c r="H677" i="17"/>
  <c r="H676" i="17"/>
  <c r="H675" i="17"/>
  <c r="H674" i="17"/>
  <c r="H673" i="17"/>
  <c r="H672" i="17"/>
  <c r="H671" i="17"/>
  <c r="H670" i="17"/>
  <c r="H669" i="17"/>
  <c r="H668" i="17"/>
  <c r="H667" i="17"/>
  <c r="H666" i="17"/>
  <c r="H665" i="17"/>
  <c r="H664" i="17"/>
  <c r="H663" i="17"/>
  <c r="H662" i="17"/>
  <c r="H661" i="17"/>
  <c r="H660" i="17"/>
  <c r="H659" i="17"/>
  <c r="H658" i="17"/>
  <c r="H657" i="17"/>
  <c r="H656" i="17"/>
  <c r="H655" i="17"/>
  <c r="H654" i="17"/>
  <c r="H653" i="17"/>
  <c r="H652" i="17"/>
  <c r="H651" i="17"/>
  <c r="H650" i="17"/>
  <c r="H649" i="17"/>
  <c r="H648" i="17"/>
  <c r="H647" i="17"/>
  <c r="H646" i="17"/>
  <c r="H645" i="17"/>
  <c r="H644" i="17"/>
  <c r="H643" i="17"/>
  <c r="H642" i="17"/>
  <c r="H641" i="17"/>
  <c r="H640" i="17"/>
  <c r="H639" i="17"/>
  <c r="H638" i="17"/>
  <c r="H637" i="17"/>
  <c r="H636" i="17"/>
  <c r="H635" i="17"/>
  <c r="H634" i="17"/>
  <c r="H633" i="17"/>
  <c r="H632" i="17"/>
  <c r="H631" i="17"/>
  <c r="H630" i="17"/>
  <c r="H629" i="17"/>
  <c r="H628" i="17"/>
  <c r="H627" i="17"/>
  <c r="H626" i="17"/>
  <c r="H625" i="17"/>
  <c r="H624" i="17"/>
  <c r="H623" i="17"/>
  <c r="H622" i="17"/>
  <c r="H621" i="17"/>
  <c r="H620" i="17"/>
  <c r="H619" i="17"/>
  <c r="H618" i="17"/>
  <c r="H617" i="17"/>
  <c r="H616" i="17"/>
  <c r="H615" i="17"/>
  <c r="H614" i="17"/>
  <c r="H613" i="17"/>
  <c r="H612" i="17"/>
  <c r="H611" i="17"/>
  <c r="H610" i="17"/>
  <c r="H609" i="17"/>
  <c r="H608" i="17"/>
  <c r="H607" i="17"/>
  <c r="H606" i="17"/>
  <c r="H605" i="17"/>
  <c r="H604" i="17"/>
  <c r="H603" i="17"/>
  <c r="H602" i="17"/>
  <c r="H601" i="17"/>
  <c r="H600" i="17"/>
  <c r="H599" i="17"/>
  <c r="H598" i="17"/>
  <c r="H597" i="17"/>
  <c r="H596" i="17"/>
  <c r="H595" i="17"/>
  <c r="H594" i="17"/>
  <c r="H593" i="17"/>
  <c r="H592" i="17"/>
  <c r="H591" i="17"/>
  <c r="H590" i="17"/>
  <c r="H589" i="17"/>
  <c r="H588" i="17"/>
  <c r="H587" i="17"/>
  <c r="H586" i="17"/>
  <c r="H585" i="17"/>
  <c r="H584" i="17"/>
  <c r="H583" i="17"/>
  <c r="H582" i="17"/>
  <c r="H581" i="17"/>
  <c r="H580" i="17"/>
  <c r="H579" i="17"/>
  <c r="H578" i="17"/>
  <c r="H577" i="17"/>
  <c r="H576" i="17"/>
  <c r="H575" i="17"/>
  <c r="H574" i="17"/>
  <c r="H573" i="17"/>
  <c r="H572" i="17"/>
  <c r="H571" i="17"/>
  <c r="H570" i="17"/>
  <c r="H569" i="17"/>
  <c r="H568" i="17"/>
  <c r="H567" i="17"/>
  <c r="H566" i="17"/>
  <c r="H565" i="17"/>
  <c r="H564" i="17"/>
  <c r="H563" i="17"/>
  <c r="H562" i="17"/>
  <c r="H561" i="17"/>
  <c r="H560" i="17"/>
  <c r="H559" i="17"/>
  <c r="H558" i="17"/>
  <c r="H557" i="17"/>
  <c r="H556" i="17"/>
  <c r="H555" i="17"/>
  <c r="H554" i="17"/>
  <c r="H553" i="17"/>
  <c r="H552" i="17"/>
  <c r="H551" i="17"/>
  <c r="H550" i="17"/>
  <c r="H549" i="17"/>
  <c r="H548" i="17"/>
  <c r="H547" i="17"/>
  <c r="H546" i="17"/>
  <c r="H545" i="17"/>
  <c r="H544" i="17"/>
  <c r="H543" i="17"/>
  <c r="H542" i="17"/>
  <c r="H541" i="17"/>
  <c r="H540" i="17"/>
  <c r="H539" i="17"/>
  <c r="H538" i="17"/>
  <c r="H537" i="17"/>
  <c r="H536" i="17"/>
  <c r="H535" i="17"/>
  <c r="H534" i="17"/>
  <c r="H533" i="17"/>
  <c r="H532" i="17"/>
  <c r="H531" i="17"/>
  <c r="H530" i="17"/>
  <c r="H529" i="17"/>
  <c r="H528" i="17"/>
  <c r="H527" i="17"/>
  <c r="H526" i="17"/>
  <c r="H525" i="17"/>
  <c r="H524" i="17"/>
  <c r="H523" i="17"/>
  <c r="H522" i="17"/>
  <c r="H521" i="17"/>
  <c r="H520" i="17"/>
  <c r="H519" i="17"/>
  <c r="H518" i="17"/>
  <c r="H517" i="17"/>
  <c r="H516" i="17"/>
  <c r="H515" i="17"/>
  <c r="H514" i="17"/>
  <c r="H513" i="17"/>
  <c r="H512" i="17"/>
  <c r="H511" i="17"/>
  <c r="H510" i="17"/>
  <c r="H509" i="17"/>
  <c r="H508" i="17"/>
  <c r="H507" i="17"/>
  <c r="H506" i="17"/>
  <c r="H505" i="17"/>
  <c r="H504" i="17"/>
  <c r="H503" i="17"/>
  <c r="H502" i="17"/>
  <c r="H501" i="17"/>
  <c r="H500" i="17"/>
  <c r="H499" i="17"/>
  <c r="H498" i="17"/>
  <c r="H497" i="17"/>
  <c r="H496" i="17"/>
  <c r="H495" i="17"/>
  <c r="H494" i="17"/>
  <c r="H493" i="17"/>
  <c r="H492" i="17"/>
  <c r="H491" i="17"/>
  <c r="H490" i="17"/>
  <c r="H489" i="17"/>
  <c r="H488" i="17"/>
  <c r="H487" i="17"/>
  <c r="H486" i="17"/>
  <c r="H485" i="17"/>
  <c r="H484" i="17"/>
  <c r="H483" i="17"/>
  <c r="H482" i="17"/>
  <c r="H481" i="17"/>
  <c r="H480" i="17"/>
  <c r="H479" i="17"/>
  <c r="H478" i="17"/>
  <c r="H477" i="17"/>
  <c r="H476" i="17"/>
  <c r="H475" i="17"/>
  <c r="H474" i="17"/>
  <c r="H473" i="17"/>
  <c r="H472" i="17"/>
  <c r="H471" i="17"/>
  <c r="H470" i="17"/>
  <c r="H469" i="17"/>
  <c r="H468" i="17"/>
  <c r="H467" i="17"/>
  <c r="H466" i="17"/>
  <c r="H465" i="17"/>
  <c r="H464" i="17"/>
  <c r="H463" i="17"/>
  <c r="H462" i="17"/>
  <c r="H461" i="17"/>
  <c r="H460" i="17"/>
  <c r="H459" i="17"/>
  <c r="H458" i="17"/>
  <c r="H457" i="17"/>
  <c r="H456" i="17"/>
  <c r="H455" i="17"/>
  <c r="H454" i="17"/>
  <c r="H453" i="17"/>
  <c r="H452" i="17"/>
  <c r="H451" i="17"/>
  <c r="H450" i="17"/>
  <c r="H449" i="17"/>
  <c r="H448" i="17"/>
  <c r="H447" i="17"/>
  <c r="H446" i="17"/>
  <c r="H445" i="17"/>
  <c r="H444" i="17"/>
  <c r="H443" i="17"/>
  <c r="H442" i="17"/>
  <c r="H441" i="17"/>
  <c r="H440" i="17"/>
  <c r="H439" i="17"/>
  <c r="H438" i="17"/>
  <c r="H437" i="17"/>
  <c r="H436" i="17"/>
  <c r="H435" i="17"/>
  <c r="H434" i="17"/>
  <c r="H433" i="17"/>
  <c r="H432" i="17"/>
  <c r="H431" i="17"/>
  <c r="H430" i="17"/>
  <c r="H429" i="17"/>
  <c r="H428" i="17"/>
  <c r="H427" i="17"/>
  <c r="H426" i="17"/>
  <c r="H425" i="17"/>
  <c r="H424" i="17"/>
  <c r="H423" i="17"/>
  <c r="H422" i="17"/>
  <c r="H421" i="17"/>
  <c r="H420" i="17"/>
  <c r="H419" i="17"/>
  <c r="H418" i="17"/>
  <c r="H417" i="17"/>
  <c r="H416" i="17"/>
  <c r="H415" i="17"/>
  <c r="H414" i="17"/>
  <c r="H413" i="17"/>
  <c r="H412" i="17"/>
  <c r="H411" i="17"/>
  <c r="H410" i="17"/>
  <c r="H409" i="17"/>
  <c r="H408" i="17"/>
  <c r="H407" i="17"/>
  <c r="H406" i="17"/>
  <c r="H405" i="17"/>
  <c r="H404" i="17"/>
  <c r="H403" i="17"/>
  <c r="H402" i="17"/>
  <c r="H401" i="17"/>
  <c r="H400" i="17"/>
  <c r="H399" i="17"/>
  <c r="H398" i="17"/>
  <c r="H397" i="17"/>
  <c r="H396" i="17"/>
  <c r="H395" i="17"/>
  <c r="H394" i="17"/>
  <c r="H393" i="17"/>
  <c r="H392" i="17"/>
  <c r="H391" i="17"/>
  <c r="H390" i="17"/>
  <c r="H389" i="17"/>
  <c r="H388" i="17"/>
  <c r="H387" i="17"/>
  <c r="H386" i="17"/>
  <c r="H385" i="17"/>
  <c r="H384" i="17"/>
  <c r="H383" i="17"/>
  <c r="H382" i="17"/>
  <c r="H381" i="17"/>
  <c r="H380" i="17"/>
  <c r="H379" i="17"/>
  <c r="H378" i="17"/>
  <c r="H377" i="17"/>
  <c r="H376" i="17"/>
  <c r="H375" i="17"/>
  <c r="H374" i="17"/>
  <c r="H373" i="17"/>
  <c r="H372" i="17"/>
  <c r="H371" i="17"/>
  <c r="H370" i="17"/>
  <c r="H369" i="17"/>
  <c r="H368" i="17"/>
  <c r="H367" i="17"/>
  <c r="H366" i="17"/>
  <c r="H365" i="17"/>
  <c r="H364" i="17"/>
  <c r="H363" i="17"/>
  <c r="H362" i="17"/>
  <c r="H361" i="17"/>
  <c r="H360" i="17"/>
  <c r="H359" i="17"/>
  <c r="H358" i="17"/>
  <c r="H357" i="17"/>
  <c r="H356" i="17"/>
  <c r="H355" i="17"/>
  <c r="H354" i="17"/>
  <c r="H353" i="17"/>
  <c r="H352" i="17"/>
  <c r="H351" i="17"/>
  <c r="H350" i="17"/>
  <c r="H349" i="17"/>
  <c r="H348" i="17"/>
  <c r="H347" i="17"/>
  <c r="H346" i="17"/>
  <c r="H345" i="17"/>
  <c r="H344" i="17"/>
  <c r="H343" i="17"/>
  <c r="H342" i="17"/>
  <c r="H341" i="17"/>
  <c r="H340" i="17"/>
  <c r="H339" i="17"/>
  <c r="H338" i="17"/>
  <c r="H337" i="17"/>
  <c r="H336" i="17"/>
  <c r="H335" i="17"/>
  <c r="H334" i="17"/>
  <c r="H333" i="17"/>
  <c r="H332" i="17"/>
  <c r="H331" i="17"/>
  <c r="H330" i="17"/>
  <c r="H329" i="17"/>
  <c r="H328" i="17"/>
  <c r="H327" i="17"/>
  <c r="H326" i="17"/>
  <c r="H325" i="17"/>
  <c r="H324" i="17"/>
  <c r="H323" i="17"/>
  <c r="H322" i="17"/>
  <c r="H321" i="17"/>
  <c r="H320" i="17"/>
  <c r="H319" i="17"/>
  <c r="H318" i="17"/>
  <c r="H317" i="17"/>
  <c r="H316" i="17"/>
  <c r="H315" i="17"/>
  <c r="H314" i="17"/>
  <c r="H313" i="17"/>
  <c r="H312" i="17"/>
  <c r="H311" i="17"/>
  <c r="H310" i="17"/>
  <c r="H309" i="17"/>
  <c r="H308" i="17"/>
  <c r="H307" i="17"/>
  <c r="H306" i="17"/>
  <c r="H305" i="17"/>
  <c r="H304" i="17"/>
  <c r="H303" i="17"/>
  <c r="H302" i="17"/>
  <c r="H301" i="17"/>
  <c r="H300" i="17"/>
  <c r="H299" i="17"/>
  <c r="H298" i="17"/>
  <c r="H297" i="17"/>
  <c r="H296" i="17"/>
  <c r="H295" i="17"/>
  <c r="H294" i="17"/>
  <c r="H293" i="17"/>
  <c r="H292" i="17"/>
  <c r="H291" i="17"/>
  <c r="H290" i="17"/>
  <c r="H289" i="17"/>
  <c r="H288" i="17"/>
  <c r="H287" i="17"/>
  <c r="H286" i="17"/>
  <c r="H285" i="17"/>
  <c r="H284" i="17"/>
  <c r="H283" i="17"/>
  <c r="H282" i="17"/>
  <c r="H281" i="17"/>
  <c r="H280" i="17"/>
  <c r="H279" i="17"/>
  <c r="H278" i="17"/>
  <c r="H277" i="17"/>
  <c r="H276" i="17"/>
  <c r="H275" i="17"/>
  <c r="H274" i="17"/>
  <c r="H273" i="17"/>
  <c r="H272" i="17"/>
  <c r="H271" i="17"/>
  <c r="H270" i="17"/>
  <c r="H269" i="17"/>
  <c r="H268" i="17"/>
  <c r="H267" i="17"/>
  <c r="H266" i="17"/>
  <c r="H265" i="17"/>
  <c r="H264" i="17"/>
  <c r="H263" i="17"/>
  <c r="H262" i="17"/>
  <c r="H261" i="17"/>
  <c r="H260" i="17"/>
  <c r="H259" i="17"/>
  <c r="H258" i="17"/>
  <c r="H257" i="17"/>
  <c r="H256" i="17"/>
  <c r="H255" i="17"/>
  <c r="H254" i="17"/>
  <c r="H253" i="17"/>
  <c r="H252" i="17"/>
  <c r="H251" i="17"/>
  <c r="H250" i="17"/>
  <c r="H249" i="17"/>
  <c r="H248" i="17"/>
  <c r="H247" i="17"/>
  <c r="H246" i="17"/>
  <c r="H245" i="17"/>
  <c r="H244" i="17"/>
  <c r="H243" i="17"/>
  <c r="H242" i="17"/>
  <c r="H241" i="17"/>
  <c r="H240" i="17"/>
  <c r="H239" i="17"/>
  <c r="H238" i="17"/>
  <c r="H237" i="17"/>
  <c r="H236" i="17"/>
  <c r="H235" i="17"/>
  <c r="H234" i="17"/>
  <c r="H233" i="17"/>
  <c r="H232" i="17"/>
  <c r="H231" i="17"/>
  <c r="H230" i="17"/>
  <c r="H229" i="17"/>
  <c r="H228" i="17"/>
  <c r="H227" i="17"/>
  <c r="H226" i="17"/>
  <c r="H225" i="17"/>
  <c r="H224" i="17"/>
  <c r="H223" i="17"/>
  <c r="H222" i="17"/>
  <c r="H221" i="17"/>
  <c r="H220" i="17"/>
  <c r="H219" i="17"/>
  <c r="H218" i="17"/>
  <c r="H217" i="17"/>
  <c r="H216" i="17"/>
  <c r="H215" i="17"/>
  <c r="H214" i="17"/>
  <c r="H213" i="17"/>
  <c r="H212" i="17"/>
  <c r="H211" i="17"/>
  <c r="H210" i="17"/>
  <c r="H209" i="17"/>
  <c r="H208" i="17"/>
  <c r="H207" i="17"/>
  <c r="H206" i="17"/>
  <c r="H205" i="17"/>
  <c r="H204" i="17"/>
  <c r="H203" i="17"/>
  <c r="H202" i="17"/>
  <c r="H201" i="17"/>
  <c r="H200" i="17"/>
  <c r="H199" i="17"/>
  <c r="H198" i="17"/>
  <c r="H197" i="17"/>
  <c r="H196" i="17"/>
  <c r="H195" i="17"/>
  <c r="H194" i="17"/>
  <c r="H193" i="17"/>
  <c r="H192" i="17"/>
  <c r="H191" i="17"/>
  <c r="H190" i="17"/>
  <c r="H189" i="17"/>
  <c r="H188" i="17"/>
  <c r="H187" i="17"/>
  <c r="H186" i="17"/>
  <c r="H185" i="17"/>
  <c r="H184" i="17"/>
  <c r="H183" i="17"/>
  <c r="H182" i="17"/>
  <c r="H181" i="17"/>
  <c r="H180" i="17"/>
  <c r="H179" i="17"/>
  <c r="H178" i="17"/>
  <c r="H177" i="17"/>
  <c r="H176" i="17"/>
  <c r="H175" i="17"/>
  <c r="H174" i="17"/>
  <c r="H173" i="17"/>
  <c r="H172" i="17"/>
  <c r="H171" i="17"/>
  <c r="H170" i="17"/>
  <c r="H169" i="17"/>
  <c r="H168" i="17"/>
  <c r="H167" i="17"/>
  <c r="H166" i="17"/>
  <c r="H165" i="17"/>
  <c r="H164" i="17"/>
  <c r="H163" i="17"/>
  <c r="H162" i="17"/>
  <c r="H161" i="17"/>
  <c r="H160" i="17"/>
  <c r="H159" i="17"/>
  <c r="H158" i="17"/>
  <c r="H157"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4" i="17"/>
  <c r="H3"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<sst xmlns="http://schemas.openxmlformats.org/spreadsheetml/2006/main" count="11128" uniqueCount="6220">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</sst>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_([$$-409]* \(#,##0.00\);_([$$-409]* &quot;-&quot;??_);_(@_)"/>
    <numFmt numFmtId="168" formatCode="[$$-409]#,##0.00"/>
    <numFmt numFmtId="169" formatCode="[$$-409]#,##0"/>
  </numFmts>
  <fonts count="3" x14ac:knownFonts="1">
    <font>
      <sz val="11"/>
      <color theme="1"/>
      <name val="Calibri"/>
      <family val="2"/>
      <scheme val="minor"/>
    </font>
    <font>
      <sz val="11"/>
      <color indexed="8"/>
      <name val="Calibri"/>
      <family val="2"/>
    </font>
    <font>
      <sz val="11"/>
      <color rgb="FF7126B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0" fontId="2" fillId="0" borderId="0" xfId="0" applyFont="1"/>
    <xf numFmtId="2" fontId="0" fillId="0" borderId="0" xfId="0" pivotButton="1" applyNumberFormat="1"/>
    <xf numFmtId="169" fontId="0" fillId="0" borderId="0" xfId="0" applyNumberFormat="1"/>
  </cellXfs>
  <cellStyles count="1">
    <cellStyle name="Normal" xfId="0" builtinId="0"/>
  </cellStyles>
  <dxfs count="23">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409]#,##0"/>
    </dxf>
    <dxf>
      <numFmt numFmtId="2" formatCode="0.00"/>
    </dxf>
    <dxf>
      <numFmt numFmtId="169" formatCode="[$$-409]#,##0"/>
    </dxf>
    <dxf>
      <numFmt numFmtId="169" formatCode="[$$-409]#,##0"/>
    </dxf>
    <dxf>
      <numFmt numFmtId="169" formatCode="[$$-409]#,##0"/>
    </dxf>
    <dxf>
      <numFmt numFmtId="168" formatCode="[$$-409]#,##0.00"/>
    </dxf>
    <dxf>
      <numFmt numFmtId="2" formatCode="0.00"/>
    </dxf>
    <dxf>
      <font>
        <sz val="11"/>
        <color theme="0"/>
        <name val="Calibri"/>
        <family val="2"/>
        <scheme val="minor"/>
      </font>
    </dxf>
    <dxf>
      <font>
        <b/>
        <i val="0"/>
        <sz val="11"/>
        <color theme="0"/>
        <name val="Calibri"/>
        <family val="2"/>
        <scheme val="minor"/>
      </font>
      <fill>
        <patternFill patternType="solid">
          <fgColor theme="0"/>
          <bgColor rgb="FF541C8C"/>
        </patternFill>
      </fill>
      <border>
        <left style="thin">
          <color theme="0"/>
        </left>
        <right style="thin">
          <color theme="0"/>
        </right>
        <top style="thin">
          <color theme="0"/>
        </top>
        <bottom style="thin">
          <color theme="0"/>
        </bottom>
      </border>
    </dxf>
    <dxf>
      <font>
        <b/>
        <i val="0"/>
        <color theme="0"/>
        <name val="Calibri"/>
        <family val="2"/>
        <scheme val="minor"/>
      </font>
    </dxf>
    <dxf>
      <font>
        <b val="0"/>
        <i val="0"/>
        <color theme="0"/>
        <name val="Calibri"/>
        <family val="2"/>
        <scheme val="minor"/>
      </font>
      <fill>
        <patternFill>
          <bgColor rgb="FF541C8C"/>
        </patternFill>
      </fill>
    </dxf>
  </dxfs>
  <tableStyles count="2" defaultTableStyle="TableStyleMedium2" defaultPivotStyle="PivotStyleMedium9">
    <tableStyle name="Purple slicer" pivot="0" table="0" count="6" xr9:uid="{9C876971-74F3-4ACC-8CD5-E7DAD7FB1C6D}">
      <tableStyleElement type="wholeTable" dxfId="22"/>
      <tableStyleElement type="headerRow" dxfId="21"/>
    </tableStyle>
    <tableStyle name="Purple Timeline Style" pivot="0" table="0" count="9" xr9:uid="{8D53C0CA-F068-4EB9-BB67-28143F84EB15}">
      <tableStyleElement type="wholeTable" dxfId="20"/>
      <tableStyleElement type="headerRow" dxfId="19"/>
    </tableStyle>
  </tableStyles>
  <colors>
    <mruColors>
      <color rgb="FF541C8C"/>
      <color rgb="FF6823AD"/>
      <color rgb="FF00CC5C"/>
      <color rgb="FF69FFAD"/>
      <color rgb="FF00DA63"/>
      <color rgb="FF006C31"/>
      <color rgb="FF301050"/>
      <color rgb="FF3C1464"/>
      <color rgb="FF3F1569"/>
      <color rgb="FF47187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diagonalUp="1">
            <left style="thin">
              <color theme="0"/>
            </left>
            <right style="thin">
              <color theme="0"/>
            </right>
            <top style="thin">
              <color theme="0"/>
            </top>
            <bottom style="thin">
              <color theme="0"/>
            </bottom>
            <diagonal style="thin">
              <color auto="1"/>
            </diagonal>
          </border>
        </dxf>
        <dxf>
          <font>
            <b val="0"/>
            <i val="0"/>
            <strike/>
            <color theme="0" tint="-4.9989318521683403E-2"/>
            <name val="Calibri"/>
            <family val="2"/>
            <scheme val="minor"/>
          </font>
        </dxf>
        <dxf>
          <font>
            <b val="0"/>
            <i val="0"/>
            <strike/>
            <color them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471876"/>
            </patternFill>
          </fill>
        </dxf>
        <dxf>
          <fill>
            <patternFill patternType="solid">
              <fgColor theme="0" tint="-0.14990691854609822"/>
              <bgColor rgb="FF3F1569"/>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 Dashboard_.xlsx]Total Sales!TotalSales</c:name>
    <c:fmtId val="3"/>
  </c:pivotSource>
  <c:chart>
    <c:title>
      <c:tx>
        <c:rich>
          <a:bodyPr rot="0" spcFirstLastPara="1" vertOverflow="ellipsis" vert="horz" wrap="square" anchor="ctr" anchorCtr="1"/>
          <a:lstStyle/>
          <a:p>
            <a:pPr>
              <a:defRPr sz="1400" b="0" i="0" u="none" strike="noStrike" kern="1200" spc="0" baseline="0">
                <a:solidFill>
                  <a:srgbClr val="7126BC"/>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126BC"/>
              </a:solidFill>
              <a:latin typeface="+mn-lt"/>
              <a:ea typeface="+mn-ea"/>
              <a:cs typeface="+mn-cs"/>
            </a:defRPr>
          </a:pPr>
          <a:endParaRPr lang="en-US"/>
        </a:p>
      </c:txPr>
    </c:title>
    <c:autoTitleDeleted val="0"/>
    <c:pivotFmts>
      <c:pivotFmt>
        <c:idx val="0"/>
        <c:spPr>
          <a:solidFill>
            <a:schemeClr val="accent1"/>
          </a:solidFill>
          <a:ln w="28575" cap="rnd">
            <a:solidFill>
              <a:srgbClr val="5D31E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D3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5D3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26B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1116431093969"/>
          <c:y val="8.9187876293013585E-2"/>
          <c:w val="0.78785218932973877"/>
          <c:h val="0.79083620087666895"/>
        </c:manualLayout>
      </c:layout>
      <c:lineChart>
        <c:grouping val="standard"/>
        <c:varyColors val="0"/>
        <c:ser>
          <c:idx val="0"/>
          <c:order val="0"/>
          <c:tx>
            <c:strRef>
              <c:f>'Total Sales'!$C$3:$C$4</c:f>
              <c:strCache>
                <c:ptCount val="1"/>
                <c:pt idx="0">
                  <c:v>Arabica</c:v>
                </c:pt>
              </c:strCache>
            </c:strRef>
          </c:tx>
          <c:spPr>
            <a:ln w="28575" cap="rnd">
              <a:solidFill>
                <a:srgbClr val="5D31EB"/>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EE8-4116-8C29-FB657F29AB5B}"/>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EE8-4116-8C29-FB657F29AB5B}"/>
            </c:ext>
          </c:extLst>
        </c:ser>
        <c:ser>
          <c:idx val="2"/>
          <c:order val="2"/>
          <c:tx>
            <c:strRef>
              <c:f>'Total 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EE8-4116-8C29-FB657F29AB5B}"/>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EE8-4116-8C29-FB657F29AB5B}"/>
            </c:ext>
          </c:extLst>
        </c:ser>
        <c:dLbls>
          <c:showLegendKey val="0"/>
          <c:showVal val="0"/>
          <c:showCatName val="0"/>
          <c:showSerName val="0"/>
          <c:showPercent val="0"/>
          <c:showBubbleSize val="0"/>
        </c:dLbls>
        <c:smooth val="0"/>
        <c:axId val="639177535"/>
        <c:axId val="639177951"/>
      </c:lineChart>
      <c:catAx>
        <c:axId val="6391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crossAx val="639177951"/>
        <c:crosses val="autoZero"/>
        <c:auto val="1"/>
        <c:lblAlgn val="ctr"/>
        <c:lblOffset val="100"/>
        <c:noMultiLvlLbl val="0"/>
      </c:catAx>
      <c:valAx>
        <c:axId val="639177951"/>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1000" b="0" i="0" u="none" strike="noStrike" kern="1200" baseline="0">
                    <a:solidFill>
                      <a:srgbClr val="7126BC"/>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126BC"/>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crossAx val="639177535"/>
        <c:crosses val="autoZero"/>
        <c:crossBetween val="between"/>
      </c:valAx>
      <c:spPr>
        <a:noFill/>
        <a:ln>
          <a:noFill/>
        </a:ln>
        <a:effectLst/>
      </c:spPr>
    </c:plotArea>
    <c:legend>
      <c:legendPos val="r"/>
      <c:layout>
        <c:manualLayout>
          <c:xMode val="edge"/>
          <c:yMode val="edge"/>
          <c:x val="0.87331217022354823"/>
          <c:y val="0.41218505575529801"/>
          <c:w val="0.11467179361559875"/>
          <c:h val="0.2285568638031916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7126B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7126B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 Dashboard_.xlsx]CountryBarChart!TotalSales</c:name>
    <c:fmtId val="6"/>
  </c:pivotSource>
  <c:chart>
    <c:title>
      <c:tx>
        <c:rich>
          <a:bodyPr rot="0" spcFirstLastPara="1" vertOverflow="ellipsis" vert="horz" wrap="square" anchor="ctr" anchorCtr="1"/>
          <a:lstStyle/>
          <a:p>
            <a:pPr>
              <a:defRPr sz="1400" b="0" i="0" u="none" strike="noStrike" kern="1200" spc="0" baseline="0">
                <a:solidFill>
                  <a:srgbClr val="541C8C"/>
                </a:solidFill>
                <a:latin typeface="+mn-lt"/>
                <a:ea typeface="+mn-ea"/>
                <a:cs typeface="+mn-cs"/>
              </a:defRPr>
            </a:pPr>
            <a:r>
              <a:rPr lang="en-US"/>
              <a:t>Sales By Country</a:t>
            </a:r>
          </a:p>
        </c:rich>
      </c:tx>
      <c:layout>
        <c:manualLayout>
          <c:xMode val="edge"/>
          <c:yMode val="edge"/>
          <c:x val="0.39161489341962563"/>
          <c:y val="8.4466115664872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41C8C"/>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CC5C"/>
          </a:solidFill>
          <a:ln w="25400">
            <a:solidFill>
              <a:schemeClr val="bg1"/>
            </a:solidFill>
          </a:ln>
          <a:effectLst/>
        </c:spPr>
      </c:pivotFmt>
      <c:pivotFmt>
        <c:idx val="3"/>
        <c:spPr>
          <a:solidFill>
            <a:srgbClr val="69FFA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FFAD"/>
          </a:solidFill>
          <a:ln w="25400">
            <a:solidFill>
              <a:schemeClr val="bg1"/>
            </a:solidFill>
          </a:ln>
          <a:effectLst/>
        </c:spPr>
      </c:pivotFmt>
      <c:pivotFmt>
        <c:idx val="6"/>
        <c:spPr>
          <a:solidFill>
            <a:srgbClr val="00CC5C"/>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9FFAD"/>
          </a:solidFill>
          <a:ln w="25400">
            <a:solidFill>
              <a:schemeClr val="bg1"/>
            </a:solidFill>
          </a:ln>
          <a:effectLst/>
        </c:spPr>
      </c:pivotFmt>
      <c:pivotFmt>
        <c:idx val="10"/>
        <c:spPr>
          <a:solidFill>
            <a:srgbClr val="00CC5C"/>
          </a:solidFill>
          <a:ln w="25400">
            <a:solidFill>
              <a:schemeClr val="bg1"/>
            </a:solidFill>
          </a:ln>
          <a:effectLst/>
        </c:spPr>
      </c:pivotFmt>
      <c:pivotFmt>
        <c:idx val="11"/>
        <c:spPr>
          <a:solidFill>
            <a:srgbClr val="006C31"/>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69FFAD"/>
              </a:solidFill>
              <a:ln w="25400">
                <a:solidFill>
                  <a:schemeClr val="bg1"/>
                </a:solidFill>
              </a:ln>
              <a:effectLst/>
            </c:spPr>
            <c:extLst>
              <c:ext xmlns:c16="http://schemas.microsoft.com/office/drawing/2014/chart" uri="{C3380CC4-5D6E-409C-BE32-E72D297353CC}">
                <c16:uniqueId val="{00000001-E285-4F09-9BD3-D79EF0F30E04}"/>
              </c:ext>
            </c:extLst>
          </c:dPt>
          <c:dPt>
            <c:idx val="1"/>
            <c:invertIfNegative val="0"/>
            <c:bubble3D val="0"/>
            <c:spPr>
              <a:solidFill>
                <a:srgbClr val="00CC5C"/>
              </a:solidFill>
              <a:ln w="25400">
                <a:solidFill>
                  <a:schemeClr val="bg1"/>
                </a:solidFill>
              </a:ln>
              <a:effectLst/>
            </c:spPr>
            <c:extLst>
              <c:ext xmlns:c16="http://schemas.microsoft.com/office/drawing/2014/chart" uri="{C3380CC4-5D6E-409C-BE32-E72D297353CC}">
                <c16:uniqueId val="{00000003-E285-4F09-9BD3-D79EF0F30E04}"/>
              </c:ext>
            </c:extLst>
          </c:dPt>
          <c:dPt>
            <c:idx val="2"/>
            <c:invertIfNegative val="0"/>
            <c:bubble3D val="0"/>
            <c:spPr>
              <a:solidFill>
                <a:srgbClr val="006C31"/>
              </a:solidFill>
              <a:ln w="25400">
                <a:solidFill>
                  <a:schemeClr val="bg1"/>
                </a:solidFill>
              </a:ln>
              <a:effectLst/>
            </c:spPr>
            <c:extLst>
              <c:ext xmlns:c16="http://schemas.microsoft.com/office/drawing/2014/chart" uri="{C3380CC4-5D6E-409C-BE32-E72D297353CC}">
                <c16:uniqueId val="{00000005-E285-4F09-9BD3-D79EF0F30E04}"/>
              </c:ext>
            </c:extLst>
          </c:dPt>
          <c:dLbls>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285-4F09-9BD3-D79EF0F30E04}"/>
            </c:ext>
          </c:extLst>
        </c:ser>
        <c:dLbls>
          <c:dLblPos val="outEnd"/>
          <c:showLegendKey val="0"/>
          <c:showVal val="1"/>
          <c:showCatName val="0"/>
          <c:showSerName val="0"/>
          <c:showPercent val="0"/>
          <c:showBubbleSize val="0"/>
        </c:dLbls>
        <c:gapWidth val="182"/>
        <c:axId val="307003743"/>
        <c:axId val="307006239"/>
      </c:barChart>
      <c:catAx>
        <c:axId val="3070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crossAx val="307006239"/>
        <c:crosses val="autoZero"/>
        <c:auto val="1"/>
        <c:lblAlgn val="ctr"/>
        <c:lblOffset val="100"/>
        <c:noMultiLvlLbl val="0"/>
      </c:catAx>
      <c:valAx>
        <c:axId val="30700623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crossAx val="30700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541C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Data Dashboard_.xlsx]Top5Customers!TotalSales</c:name>
    <c:fmtId val="7"/>
  </c:pivotSource>
  <c:chart>
    <c:title>
      <c:tx>
        <c:rich>
          <a:bodyPr rot="0" spcFirstLastPara="1" vertOverflow="ellipsis" vert="horz" wrap="square" anchor="ctr" anchorCtr="1"/>
          <a:lstStyle/>
          <a:p>
            <a:pPr>
              <a:defRPr sz="1400" b="0" i="0" u="none" strike="noStrike" kern="1200" spc="0" baseline="0">
                <a:solidFill>
                  <a:srgbClr val="541C8C"/>
                </a:solidFill>
                <a:latin typeface="+mn-lt"/>
                <a:ea typeface="+mn-ea"/>
                <a:cs typeface="+mn-cs"/>
              </a:defRPr>
            </a:pPr>
            <a:r>
              <a:rPr lang="en-US"/>
              <a:t>Top 5 Customers</a:t>
            </a:r>
          </a:p>
        </c:rich>
      </c:tx>
      <c:layout>
        <c:manualLayout>
          <c:xMode val="edge"/>
          <c:yMode val="edge"/>
          <c:x val="0.37891823427698995"/>
          <c:y val="7.75862068965517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41C8C"/>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CC5C"/>
          </a:solidFill>
          <a:ln w="25400">
            <a:solidFill>
              <a:schemeClr val="bg1"/>
            </a:solidFill>
          </a:ln>
          <a:effectLst/>
        </c:spPr>
      </c:pivotFmt>
      <c:pivotFmt>
        <c:idx val="3"/>
        <c:spPr>
          <a:solidFill>
            <a:srgbClr val="69FFAD"/>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FFAD"/>
          </a:solidFill>
          <a:ln w="25400">
            <a:solidFill>
              <a:schemeClr val="bg1"/>
            </a:solidFill>
          </a:ln>
          <a:effectLst/>
        </c:spPr>
      </c:pivotFmt>
      <c:pivotFmt>
        <c:idx val="6"/>
        <c:spPr>
          <a:solidFill>
            <a:srgbClr val="00CC5C"/>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017-474E-946B-3FFE33EAB05B}"/>
              </c:ext>
            </c:extLst>
          </c:dPt>
          <c:dPt>
            <c:idx val="1"/>
            <c:invertIfNegative val="0"/>
            <c:bubble3D val="0"/>
            <c:extLst>
              <c:ext xmlns:c16="http://schemas.microsoft.com/office/drawing/2014/chart" uri="{C3380CC4-5D6E-409C-BE32-E72D297353CC}">
                <c16:uniqueId val="{00000001-4017-474E-946B-3FFE33EAB05B}"/>
              </c:ext>
            </c:extLst>
          </c:dPt>
          <c:dPt>
            <c:idx val="2"/>
            <c:invertIfNegative val="0"/>
            <c:bubble3D val="0"/>
            <c:extLst>
              <c:ext xmlns:c16="http://schemas.microsoft.com/office/drawing/2014/chart" uri="{C3380CC4-5D6E-409C-BE32-E72D297353CC}">
                <c16:uniqueId val="{00000002-4017-474E-946B-3FFE33EAB05B}"/>
              </c:ext>
            </c:extLst>
          </c:dPt>
          <c:dLbls>
            <c:spPr>
              <a:noFill/>
              <a:ln>
                <a:noFill/>
              </a:ln>
              <a:effectLst/>
            </c:spPr>
            <c:txPr>
              <a:bodyPr rot="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017-474E-946B-3FFE33EAB05B}"/>
            </c:ext>
          </c:extLst>
        </c:ser>
        <c:dLbls>
          <c:dLblPos val="outEnd"/>
          <c:showLegendKey val="0"/>
          <c:showVal val="1"/>
          <c:showCatName val="0"/>
          <c:showSerName val="0"/>
          <c:showPercent val="0"/>
          <c:showBubbleSize val="0"/>
        </c:dLbls>
        <c:gapWidth val="182"/>
        <c:axId val="307003743"/>
        <c:axId val="307006239"/>
      </c:barChart>
      <c:catAx>
        <c:axId val="3070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crossAx val="307006239"/>
        <c:crosses val="autoZero"/>
        <c:auto val="1"/>
        <c:lblAlgn val="ctr"/>
        <c:lblOffset val="100"/>
        <c:noMultiLvlLbl val="0"/>
      </c:catAx>
      <c:valAx>
        <c:axId val="30700623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1C8C"/>
                </a:solidFill>
                <a:latin typeface="+mn-lt"/>
                <a:ea typeface="+mn-ea"/>
                <a:cs typeface="+mn-cs"/>
              </a:defRPr>
            </a:pPr>
            <a:endParaRPr lang="en-US"/>
          </a:p>
        </c:txPr>
        <c:crossAx val="30700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541C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601014</xdr:colOff>
      <xdr:row>5</xdr:row>
      <xdr:rowOff>1</xdr:rowOff>
    </xdr:to>
    <xdr:sp macro="" textlink="">
      <xdr:nvSpPr>
        <xdr:cNvPr id="3" name="Rectangle 2">
          <a:extLst>
            <a:ext uri="{FF2B5EF4-FFF2-40B4-BE49-F238E27FC236}">
              <a16:creationId xmlns:a16="http://schemas.microsoft.com/office/drawing/2014/main" id="{09AE30DF-0937-4F55-9E90-F3E3A4A0C6D1}"/>
            </a:ext>
          </a:extLst>
        </xdr:cNvPr>
        <xdr:cNvSpPr/>
      </xdr:nvSpPr>
      <xdr:spPr>
        <a:xfrm>
          <a:off x="0" y="0"/>
          <a:ext cx="15400986" cy="794198"/>
        </a:xfrm>
        <a:prstGeom prst="rect">
          <a:avLst/>
        </a:prstGeom>
        <a:solidFill>
          <a:srgbClr val="6823AD"/>
        </a:solidFill>
        <a:ln>
          <a:solidFill>
            <a:srgbClr val="6823A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 SALES DASHBOARD</a:t>
          </a:r>
        </a:p>
      </xdr:txBody>
    </xdr:sp>
    <xdr:clientData/>
  </xdr:twoCellAnchor>
  <xdr:twoCellAnchor editAs="oneCell">
    <xdr:from>
      <xdr:col>0</xdr:col>
      <xdr:colOff>0</xdr:colOff>
      <xdr:row>5</xdr:row>
      <xdr:rowOff>73592</xdr:rowOff>
    </xdr:from>
    <xdr:to>
      <xdr:col>17</xdr:col>
      <xdr:colOff>354169</xdr:colOff>
      <xdr:row>16</xdr:row>
      <xdr:rowOff>43543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C74CD8D4-4088-47A2-8885-014A893B0AA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854642"/>
              <a:ext cx="10231594" cy="19606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489857</xdr:colOff>
      <xdr:row>10</xdr:row>
      <xdr:rowOff>76200</xdr:rowOff>
    </xdr:from>
    <xdr:to>
      <xdr:col>22</xdr:col>
      <xdr:colOff>386367</xdr:colOff>
      <xdr:row>16</xdr:row>
      <xdr:rowOff>34035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4072F58F-1A59-4335-9FE8-CBF6AD8EBEC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367282" y="1762125"/>
              <a:ext cx="2944510" cy="1043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478972</xdr:colOff>
      <xdr:row>5</xdr:row>
      <xdr:rowOff>108858</xdr:rowOff>
    </xdr:from>
    <xdr:to>
      <xdr:col>26</xdr:col>
      <xdr:colOff>2300</xdr:colOff>
      <xdr:row>9</xdr:row>
      <xdr:rowOff>140902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B95827B6-35F2-452B-9D71-334FF355B2A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356397" y="889908"/>
              <a:ext cx="5009728" cy="755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457200</xdr:colOff>
      <xdr:row>10</xdr:row>
      <xdr:rowOff>65314</xdr:rowOff>
    </xdr:from>
    <xdr:to>
      <xdr:col>25</xdr:col>
      <xdr:colOff>603102</xdr:colOff>
      <xdr:row>16</xdr:row>
      <xdr:rowOff>43543</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A4A3CA60-9EB0-48EA-AF11-4EC8A1EEE1B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382625" y="1751239"/>
              <a:ext cx="1974702" cy="1064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43543</xdr:colOff>
      <xdr:row>16</xdr:row>
      <xdr:rowOff>84634</xdr:rowOff>
    </xdr:from>
    <xdr:to>
      <xdr:col>16</xdr:col>
      <xdr:colOff>315686</xdr:colOff>
      <xdr:row>39</xdr:row>
      <xdr:rowOff>174171</xdr:rowOff>
    </xdr:to>
    <xdr:graphicFrame macro="">
      <xdr:nvGraphicFramePr>
        <xdr:cNvPr id="8" name="Chart 7">
          <a:extLst>
            <a:ext uri="{FF2B5EF4-FFF2-40B4-BE49-F238E27FC236}">
              <a16:creationId xmlns:a16="http://schemas.microsoft.com/office/drawing/2014/main" id="{BC3419A4-DCB4-431A-A671-721E8820A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446315</xdr:colOff>
      <xdr:row>16</xdr:row>
      <xdr:rowOff>95519</xdr:rowOff>
    </xdr:from>
    <xdr:to>
      <xdr:col>26</xdr:col>
      <xdr:colOff>10887</xdr:colOff>
      <xdr:row>26</xdr:row>
      <xdr:rowOff>119589</xdr:rowOff>
    </xdr:to>
    <xdr:graphicFrame macro="">
      <xdr:nvGraphicFramePr>
        <xdr:cNvPr id="9" name="Chart 8">
          <a:extLst>
            <a:ext uri="{FF2B5EF4-FFF2-40B4-BE49-F238E27FC236}">
              <a16:creationId xmlns:a16="http://schemas.microsoft.com/office/drawing/2014/main" id="{684086ED-0FA3-4F82-9609-E68C4514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435429</xdr:colOff>
      <xdr:row>27</xdr:row>
      <xdr:rowOff>75279</xdr:rowOff>
    </xdr:from>
    <xdr:to>
      <xdr:col>25</xdr:col>
      <xdr:colOff>587828</xdr:colOff>
      <xdr:row>40</xdr:row>
      <xdr:rowOff>10885</xdr:rowOff>
    </xdr:to>
    <xdr:graphicFrame macro="">
      <xdr:nvGraphicFramePr>
        <xdr:cNvPr id="10" name="Chart 9">
          <a:extLst>
            <a:ext uri="{FF2B5EF4-FFF2-40B4-BE49-F238E27FC236}">
              <a16:creationId xmlns:a16="http://schemas.microsoft.com/office/drawing/2014/main" id="{FD37975C-4A42-4902-8A7E-E64982214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yinkansola" refreshedDate="46247.967038657407" createdVersion="7" refreshedVersion="7" minRefreshableVersion="3" recordCount="1000" xr:uid="{8929F134-BC84-4733-A362-6C17368EB2A2}">
  <cacheSource type="worksheet">
    <worksheetSource name="Order"/>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13110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0DED6-57BD-429C-933C-9A9DB00DEC8A}"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66548-EB04-48FE-8F26-2A25E0D4123A}"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sd="0" x="2"/>
        <item x="3"/>
        <item x="4"/>
        <item x="5"/>
      </items>
    </pivotField>
  </pivotFields>
  <rowFields count="1">
    <field x="7"/>
  </rowFields>
  <rowItems count="3">
    <i>
      <x v="1"/>
    </i>
    <i>
      <x/>
    </i>
    <i>
      <x v="2"/>
    </i>
  </rowItems>
  <colItems count="1">
    <i/>
  </colItems>
  <dataFields count="1">
    <dataField name="Sum of Sales" fld="12" baseField="0" baseItem="32" numFmtId="168"/>
  </dataFields>
  <formats count="5">
    <format dxfId="18">
      <pivotArea field="7" type="button" dataOnly="0" labelOnly="1" outline="0" axis="axisRow" fieldPosition="0"/>
    </format>
    <format dxfId="17">
      <pivotArea outline="0" fieldPosition="0">
        <references count="1">
          <reference field="4294967294" count="1">
            <x v="0"/>
          </reference>
        </references>
      </pivotArea>
    </format>
    <format dxfId="16">
      <pivotArea outline="0" fieldPosition="0">
        <references count="1">
          <reference field="7" count="1" selected="0">
            <x v="1"/>
          </reference>
        </references>
      </pivotArea>
    </format>
    <format dxfId="15">
      <pivotArea outline="0" fieldPosition="0">
        <references count="1">
          <reference field="7" count="1" selected="0">
            <x v="0"/>
          </reference>
        </references>
      </pivotArea>
    </format>
    <format dxfId="14">
      <pivotArea outline="0" fieldPosition="0">
        <references count="1">
          <reference field="7" count="1" selected="0">
            <x v="2"/>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C3D87-511E-4849-A2AD-01AA063B8D64}" name="TotalSales" cacheId="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8">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sd="0" x="2"/>
        <item x="3"/>
        <item x="4"/>
        <item x="5"/>
      </items>
    </pivotField>
  </pivotFields>
  <rowFields count="1">
    <field x="5"/>
  </rowFields>
  <rowItems count="5">
    <i>
      <x v="255"/>
    </i>
    <i>
      <x v="646"/>
    </i>
    <i>
      <x v="831"/>
    </i>
    <i>
      <x v="125"/>
    </i>
    <i>
      <x v="28"/>
    </i>
  </rowItems>
  <colItems count="1">
    <i/>
  </colItems>
  <dataFields count="1">
    <dataField name="Sum of Sales" fld="12" baseField="5" baseItem="28" numFmtId="169"/>
  </dataFields>
  <formats count="2">
    <format dxfId="13">
      <pivotArea field="7" type="button" dataOnly="0" labelOnly="1" outline="0"/>
    </format>
    <format dxfId="12">
      <pivotArea outline="0" fieldPosition="0">
        <references count="1">
          <reference field="4294967294" count="1">
            <x v="0"/>
          </reference>
        </references>
      </pivotArea>
    </format>
  </formats>
  <chartFormats count="5">
    <chartFormat chart="2" format="1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A29D091-BBCE-4BB9-A51F-DAC0C3A0D738}" sourceName="Size">
  <pivotTables>
    <pivotTable tabId="18" name="TotalSales"/>
    <pivotTable tabId="20" name="TotalSales"/>
    <pivotTable tabId="23" name="TotalSales"/>
  </pivotTables>
  <data>
    <tabular pivotCacheId="15131109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BD408BE-3318-425B-AE82-F718C73507C3}" sourceName="Roast Type Name">
  <pivotTables>
    <pivotTable tabId="18" name="TotalSales"/>
    <pivotTable tabId="20" name="TotalSales"/>
    <pivotTable tabId="23" name="TotalSales"/>
  </pivotTables>
  <data>
    <tabular pivotCacheId="15131109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79E8D24-05D7-458D-BAED-136B6C4C3740}" sourceName="Loyalty Card">
  <pivotTables>
    <pivotTable tabId="18" name="TotalSales"/>
    <pivotTable tabId="20" name="TotalSales"/>
    <pivotTable tabId="23" name="TotalSales"/>
  </pivotTables>
  <data>
    <tabular pivotCacheId="15131109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3F7EE65-0B48-46B8-9B3D-AAD138472F81}" cache="Slicer_Size" caption="Size" columnCount="2" rowHeight="234950"/>
  <slicer name="Roast Type Name" xr10:uid="{A30F148B-D506-4E8C-873E-A1C58FCD55FF}" cache="Slicer_Roast_Type_Name" caption="Roast Type Name" columnCount="3" rowHeight="234950"/>
  <slicer name="Loyalty Card" xr10:uid="{47E51B5E-6FC9-4FEB-B14E-7AACF0D44330}"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FCFCAC-C567-4BE6-BDEF-DD5283FC6804}" name="Order" displayName="Order" ref="A1:P1001" totalsRowShown="0" headerRowDxfId="11">
  <autoFilter ref="A1:P1001" xr:uid="{44FCFCAC-C567-4BE6-BDEF-DD5283FC6804}"/>
  <tableColumns count="16">
    <tableColumn id="1" xr3:uid="{7DECB414-A091-4098-AC8C-7006F2931FA8}" name="Order ID" dataDxfId="10"/>
    <tableColumn id="2" xr3:uid="{5A092AAF-15F2-4320-838C-19785B8B31BC}" name="Order Date" dataDxfId="9"/>
    <tableColumn id="3" xr3:uid="{2E00C27C-9B23-4320-B706-8D40AFFF4783}" name="Customer ID" dataDxfId="8"/>
    <tableColumn id="4" xr3:uid="{988623FE-4C26-462A-81BF-935265D50428}" name="Product ID"/>
    <tableColumn id="5" xr3:uid="{7CC165EF-F0AB-473A-9955-97DA9E916E06}" name="Quantity" dataDxfId="7"/>
    <tableColumn id="6" xr3:uid="{66503C6C-9971-41E3-9E20-08844C72F384}" name="Customer Name" dataDxfId="6">
      <calculatedColumnFormula>_xlfn.XLOOKUP(C2,customers!$A$1:$A$1001,customers!$B$1:$B$1001,,0)</calculatedColumnFormula>
    </tableColumn>
    <tableColumn id="7" xr3:uid="{888E0E01-5438-430F-8830-B2C2AB7C23ED}" name="Email" dataDxfId="5">
      <calculatedColumnFormula>IF(_xlfn.XLOOKUP(C2,customers!$A$1:$A$1001,customers!$C$1:$C$1001,,0)=0,"",_xlfn.XLOOKUP(C2,customers!$A$1:$A$1001,customers!$C$1:$C$1001,,0))</calculatedColumnFormula>
    </tableColumn>
    <tableColumn id="8" xr3:uid="{B4366C41-270C-4FDF-9A59-A527163F56CE}" name="Country" dataDxfId="4">
      <calculatedColumnFormula>_xlfn.XLOOKUP(C2,customers!$A$1:$A$1001,customers!$G$1:$G$1001,,0)</calculatedColumnFormula>
    </tableColumn>
    <tableColumn id="9" xr3:uid="{679A5873-725B-4B31-9593-38E13612B6EB}" name="Coffee Type">
      <calculatedColumnFormula>INDEX(products!$A$1:$G$49,MATCH(orders!$D2,products!$A$1:$A$49,0),MATCH(orders!I$1,products!$A$1:$G$1,0))</calculatedColumnFormula>
    </tableColumn>
    <tableColumn id="10" xr3:uid="{AE18D4AA-F5E4-469E-98CE-A726F8F3D7B5}" name="Roast Type">
      <calculatedColumnFormula>INDEX(products!$A$1:$G$49,MATCH(orders!$D2,products!$A$1:$A$49,0),MATCH(orders!J$1,products!$A$1:$G$1,0))</calculatedColumnFormula>
    </tableColumn>
    <tableColumn id="11" xr3:uid="{819FF70B-B674-4AD8-8AC5-E3C7AFCD81DF}" name="Size" dataDxfId="3">
      <calculatedColumnFormula>INDEX(products!$A$1:$G$49,MATCH(orders!$D2,products!$A$1:$A$49,0),MATCH(orders!K$1,products!$A$1:$G$1,0))</calculatedColumnFormula>
    </tableColumn>
    <tableColumn id="12" xr3:uid="{06A8E440-B508-4721-9146-A6443F4396CD}" name="Unit Price" dataDxfId="2">
      <calculatedColumnFormula>INDEX(products!$A$1:$G$49,MATCH(orders!$D2,products!$A$1:$A$49,0),MATCH(orders!L$1,products!$A$1:$G$1,0))</calculatedColumnFormula>
    </tableColumn>
    <tableColumn id="13" xr3:uid="{73919C53-F39B-46FA-BE7D-93AE62AC163E}" name="Sales" dataDxfId="1">
      <calculatedColumnFormula>L2*E2</calculatedColumnFormula>
    </tableColumn>
    <tableColumn id="14" xr3:uid="{B2D82230-78AA-4189-8315-A0686ABD9934}" name="Coffee Type Name">
      <calculatedColumnFormula>IF(I2="Rob","Robusta",IF(I2="Exc","Excelsa",IF(I2="Ara","Arabica",IF(I2="Lib","Liberica",""))))</calculatedColumnFormula>
    </tableColumn>
    <tableColumn id="15" xr3:uid="{EE066F6B-DB8E-4B82-AABA-599AC173E1D5}" name="Roast Type Name">
      <calculatedColumnFormula>IF(J2="M","Medium",IF(J2="L","Light",IF(J2="D","Dark","")))</calculatedColumnFormula>
    </tableColumn>
    <tableColumn id="16" xr3:uid="{5DDF30EE-C4A9-4481-880C-3452C1DF8A79}" name="Loyalty Card" dataDxfId="0">
      <calculatedColumnFormula>_xlfn.XLOOKUP(Order[[#This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3226D05-EBAA-4B59-9C6A-B089B86A4F38}" sourceName="Order Date">
  <pivotTables>
    <pivotTable tabId="18" name="TotalSales"/>
    <pivotTable tabId="20" name="TotalSales"/>
    <pivotTable tabId="23" name="TotalSales"/>
  </pivotTables>
  <state minimalRefreshVersion="6" lastRefreshVersion="6" pivotCacheId="15131109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55B2466-FA1A-4CDC-B727-0B9D0B5E2D2E}" cache="NativeTimeline_Order_Date" caption="Order Date" level="2" selectionLevel="2" scrollPosition="2020-02-12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717C-7367-4294-9302-5452A1CDC233}">
  <dimension ref="A1"/>
  <sheetViews>
    <sheetView showGridLines="0" showRowColHeaders="0" tabSelected="1" zoomScale="80" zoomScaleNormal="80" workbookViewId="0">
      <selection activeCell="AA18" sqref="AA18"/>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C14A-55B4-475C-B924-77960169E5AB}">
  <dimension ref="A1:M48"/>
  <sheetViews>
    <sheetView zoomScale="90" zoomScaleNormal="90" workbookViewId="0">
      <selection activeCell="C32" sqref="C32"/>
    </sheetView>
  </sheetViews>
  <sheetFormatPr defaultRowHeight="14.4" x14ac:dyDescent="0.3"/>
  <cols>
    <col min="1" max="2" width="13.44140625" bestFit="1" customWidth="1"/>
    <col min="3" max="3" width="19.77734375" bestFit="1" customWidth="1"/>
    <col min="4" max="4" width="7.44140625" bestFit="1" customWidth="1"/>
    <col min="5" max="5" width="7.77734375" bestFit="1" customWidth="1"/>
    <col min="6" max="6" width="8.21875" bestFit="1" customWidth="1"/>
  </cols>
  <sheetData>
    <row r="1" spans="1:13" x14ac:dyDescent="0.3">
      <c r="M1" s="9"/>
    </row>
    <row r="3" spans="1:13" x14ac:dyDescent="0.3">
      <c r="A3" s="6" t="s">
        <v>6219</v>
      </c>
      <c r="C3" s="6" t="s">
        <v>6196</v>
      </c>
    </row>
    <row r="4" spans="1:13" x14ac:dyDescent="0.3">
      <c r="A4" s="6" t="s">
        <v>6214</v>
      </c>
      <c r="B4" s="6" t="s">
        <v>1</v>
      </c>
      <c r="C4" t="s">
        <v>6215</v>
      </c>
      <c r="D4" t="s">
        <v>6216</v>
      </c>
      <c r="E4" t="s">
        <v>6217</v>
      </c>
      <c r="F4" t="s">
        <v>6218</v>
      </c>
    </row>
    <row r="5" spans="1:13" x14ac:dyDescent="0.3">
      <c r="A5" t="s">
        <v>6198</v>
      </c>
      <c r="B5" s="7" t="s">
        <v>6199</v>
      </c>
      <c r="C5" s="8">
        <v>186.85499999999999</v>
      </c>
      <c r="D5" s="8">
        <v>305.97000000000003</v>
      </c>
      <c r="E5" s="8">
        <v>213.15999999999997</v>
      </c>
      <c r="F5" s="8">
        <v>123</v>
      </c>
    </row>
    <row r="6" spans="1:13" x14ac:dyDescent="0.3">
      <c r="B6" s="7" t="s">
        <v>6200</v>
      </c>
      <c r="C6" s="8">
        <v>251.96499999999997</v>
      </c>
      <c r="D6" s="8">
        <v>129.46</v>
      </c>
      <c r="E6" s="8">
        <v>434.03999999999996</v>
      </c>
      <c r="F6" s="8">
        <v>171.93999999999997</v>
      </c>
    </row>
    <row r="7" spans="1:13" x14ac:dyDescent="0.3">
      <c r="B7" s="7" t="s">
        <v>6201</v>
      </c>
      <c r="C7" s="8">
        <v>224.94499999999999</v>
      </c>
      <c r="D7" s="8">
        <v>349.12</v>
      </c>
      <c r="E7" s="8">
        <v>321.04000000000002</v>
      </c>
      <c r="F7" s="8">
        <v>126.035</v>
      </c>
    </row>
    <row r="8" spans="1:13" x14ac:dyDescent="0.3">
      <c r="B8" s="7" t="s">
        <v>6202</v>
      </c>
      <c r="C8" s="8">
        <v>307.12</v>
      </c>
      <c r="D8" s="8">
        <v>681.07499999999993</v>
      </c>
      <c r="E8" s="8">
        <v>533.70499999999993</v>
      </c>
      <c r="F8" s="8">
        <v>158.85</v>
      </c>
    </row>
    <row r="9" spans="1:13" x14ac:dyDescent="0.3">
      <c r="B9" s="7" t="s">
        <v>6203</v>
      </c>
      <c r="C9" s="8">
        <v>53.664999999999992</v>
      </c>
      <c r="D9" s="8">
        <v>83.025000000000006</v>
      </c>
      <c r="E9" s="8">
        <v>193.83499999999998</v>
      </c>
      <c r="F9" s="8">
        <v>68.039999999999992</v>
      </c>
    </row>
    <row r="10" spans="1:13" x14ac:dyDescent="0.3">
      <c r="B10" s="7" t="s">
        <v>6204</v>
      </c>
      <c r="C10" s="8">
        <v>163.01999999999998</v>
      </c>
      <c r="D10" s="8">
        <v>678.3599999999999</v>
      </c>
      <c r="E10" s="8">
        <v>171.04500000000002</v>
      </c>
      <c r="F10" s="8">
        <v>372.255</v>
      </c>
    </row>
    <row r="11" spans="1:13" x14ac:dyDescent="0.3">
      <c r="B11" s="7" t="s">
        <v>6205</v>
      </c>
      <c r="C11" s="8">
        <v>345.02</v>
      </c>
      <c r="D11" s="8">
        <v>273.86999999999995</v>
      </c>
      <c r="E11" s="8">
        <v>184.12999999999997</v>
      </c>
      <c r="F11" s="8">
        <v>201.11499999999998</v>
      </c>
    </row>
    <row r="12" spans="1:13" x14ac:dyDescent="0.3">
      <c r="B12" s="7" t="s">
        <v>6206</v>
      </c>
      <c r="C12" s="8">
        <v>334.89</v>
      </c>
      <c r="D12" s="8">
        <v>70.95</v>
      </c>
      <c r="E12" s="8">
        <v>134.23000000000002</v>
      </c>
      <c r="F12" s="8">
        <v>166.27499999999998</v>
      </c>
    </row>
    <row r="13" spans="1:13" x14ac:dyDescent="0.3">
      <c r="B13" s="7" t="s">
        <v>6207</v>
      </c>
      <c r="C13" s="8">
        <v>178.70999999999998</v>
      </c>
      <c r="D13" s="8">
        <v>166.1</v>
      </c>
      <c r="E13" s="8">
        <v>439.30999999999995</v>
      </c>
      <c r="F13" s="8">
        <v>492.9</v>
      </c>
    </row>
    <row r="14" spans="1:13" x14ac:dyDescent="0.3">
      <c r="B14" s="7" t="s">
        <v>6208</v>
      </c>
      <c r="C14" s="8">
        <v>301.98500000000001</v>
      </c>
      <c r="D14" s="8">
        <v>153.76499999999999</v>
      </c>
      <c r="E14" s="8">
        <v>215.55499999999998</v>
      </c>
      <c r="F14" s="8">
        <v>213.66499999999999</v>
      </c>
    </row>
    <row r="15" spans="1:13" x14ac:dyDescent="0.3">
      <c r="B15" s="7" t="s">
        <v>6209</v>
      </c>
      <c r="C15" s="8">
        <v>312.83499999999998</v>
      </c>
      <c r="D15" s="8">
        <v>63.249999999999993</v>
      </c>
      <c r="E15" s="8">
        <v>350.89500000000004</v>
      </c>
      <c r="F15" s="8">
        <v>96.405000000000001</v>
      </c>
    </row>
    <row r="16" spans="1:13" x14ac:dyDescent="0.3">
      <c r="B16" s="7" t="s">
        <v>6210</v>
      </c>
      <c r="C16" s="8">
        <v>265.62</v>
      </c>
      <c r="D16" s="8">
        <v>526.51499999999987</v>
      </c>
      <c r="E16" s="8">
        <v>187.06</v>
      </c>
      <c r="F16" s="8">
        <v>210.58999999999997</v>
      </c>
    </row>
    <row r="17" spans="1:6" x14ac:dyDescent="0.3">
      <c r="A17" t="s">
        <v>6211</v>
      </c>
      <c r="B17" s="7" t="s">
        <v>6199</v>
      </c>
      <c r="C17" s="8">
        <v>47.25</v>
      </c>
      <c r="D17" s="8">
        <v>65.805000000000007</v>
      </c>
      <c r="E17" s="8">
        <v>274.67500000000001</v>
      </c>
      <c r="F17" s="8">
        <v>179.22</v>
      </c>
    </row>
    <row r="18" spans="1:6" x14ac:dyDescent="0.3">
      <c r="B18" s="7" t="s">
        <v>6200</v>
      </c>
      <c r="C18" s="8">
        <v>745.44999999999993</v>
      </c>
      <c r="D18" s="8">
        <v>428.88499999999999</v>
      </c>
      <c r="E18" s="8">
        <v>194.17499999999998</v>
      </c>
      <c r="F18" s="8">
        <v>429.82999999999993</v>
      </c>
    </row>
    <row r="19" spans="1:6" x14ac:dyDescent="0.3">
      <c r="B19" s="7" t="s">
        <v>6201</v>
      </c>
      <c r="C19" s="8">
        <v>130.47</v>
      </c>
      <c r="D19" s="8">
        <v>271.48500000000001</v>
      </c>
      <c r="E19" s="8">
        <v>281.20499999999998</v>
      </c>
      <c r="F19" s="8">
        <v>231.63000000000002</v>
      </c>
    </row>
    <row r="20" spans="1:6" x14ac:dyDescent="0.3">
      <c r="B20" s="7" t="s">
        <v>6202</v>
      </c>
      <c r="C20" s="8">
        <v>27</v>
      </c>
      <c r="D20" s="8">
        <v>347.26</v>
      </c>
      <c r="E20" s="8">
        <v>147.51</v>
      </c>
      <c r="F20" s="8">
        <v>240.04</v>
      </c>
    </row>
    <row r="21" spans="1:6" x14ac:dyDescent="0.3">
      <c r="B21" s="7" t="s">
        <v>6203</v>
      </c>
      <c r="C21" s="8">
        <v>255.11499999999995</v>
      </c>
      <c r="D21" s="8">
        <v>541.73</v>
      </c>
      <c r="E21" s="8">
        <v>83.43</v>
      </c>
      <c r="F21" s="8">
        <v>59.079999999999991</v>
      </c>
    </row>
    <row r="22" spans="1:6" x14ac:dyDescent="0.3">
      <c r="B22" s="7" t="s">
        <v>6204</v>
      </c>
      <c r="C22" s="8">
        <v>584.78999999999985</v>
      </c>
      <c r="D22" s="8">
        <v>357.42999999999995</v>
      </c>
      <c r="E22" s="8">
        <v>355.34</v>
      </c>
      <c r="F22" s="8">
        <v>140.88</v>
      </c>
    </row>
    <row r="23" spans="1:6" x14ac:dyDescent="0.3">
      <c r="B23" s="7" t="s">
        <v>6205</v>
      </c>
      <c r="C23" s="8">
        <v>430.62</v>
      </c>
      <c r="D23" s="8">
        <v>227.42500000000001</v>
      </c>
      <c r="E23" s="8">
        <v>236.315</v>
      </c>
      <c r="F23" s="8">
        <v>414.58499999999992</v>
      </c>
    </row>
    <row r="24" spans="1:6" x14ac:dyDescent="0.3">
      <c r="B24" s="7" t="s">
        <v>6206</v>
      </c>
      <c r="C24" s="8">
        <v>22.5</v>
      </c>
      <c r="D24" s="8">
        <v>77.72</v>
      </c>
      <c r="E24" s="8">
        <v>60.5</v>
      </c>
      <c r="F24" s="8">
        <v>139.67999999999998</v>
      </c>
    </row>
    <row r="25" spans="1:6" x14ac:dyDescent="0.3">
      <c r="B25" s="7" t="s">
        <v>6207</v>
      </c>
      <c r="C25" s="8">
        <v>126.14999999999999</v>
      </c>
      <c r="D25" s="8">
        <v>195.11</v>
      </c>
      <c r="E25" s="8">
        <v>89.13</v>
      </c>
      <c r="F25" s="8">
        <v>302.65999999999997</v>
      </c>
    </row>
    <row r="26" spans="1:6" x14ac:dyDescent="0.3">
      <c r="B26" s="7" t="s">
        <v>6208</v>
      </c>
      <c r="C26" s="8">
        <v>376.03</v>
      </c>
      <c r="D26" s="8">
        <v>523.24</v>
      </c>
      <c r="E26" s="8">
        <v>440.96499999999997</v>
      </c>
      <c r="F26" s="8">
        <v>174.46999999999997</v>
      </c>
    </row>
    <row r="27" spans="1:6" x14ac:dyDescent="0.3">
      <c r="B27" s="7" t="s">
        <v>6209</v>
      </c>
      <c r="C27" s="8">
        <v>515.17999999999995</v>
      </c>
      <c r="D27" s="8">
        <v>142.56</v>
      </c>
      <c r="E27" s="8">
        <v>347.03999999999996</v>
      </c>
      <c r="F27" s="8">
        <v>104.08499999999999</v>
      </c>
    </row>
    <row r="28" spans="1:6" x14ac:dyDescent="0.3">
      <c r="B28" s="7" t="s">
        <v>6210</v>
      </c>
      <c r="C28" s="8">
        <v>95.859999999999985</v>
      </c>
      <c r="D28" s="8">
        <v>484.76</v>
      </c>
      <c r="E28" s="8">
        <v>94.17</v>
      </c>
      <c r="F28" s="8">
        <v>77.10499999999999</v>
      </c>
    </row>
    <row r="29" spans="1:6" x14ac:dyDescent="0.3">
      <c r="A29" t="s">
        <v>6212</v>
      </c>
      <c r="B29" s="7" t="s">
        <v>6199</v>
      </c>
      <c r="C29" s="8">
        <v>258.34500000000003</v>
      </c>
      <c r="D29" s="8">
        <v>139.625</v>
      </c>
      <c r="E29" s="8">
        <v>279.52000000000004</v>
      </c>
      <c r="F29" s="8">
        <v>160.19499999999999</v>
      </c>
    </row>
    <row r="30" spans="1:6" x14ac:dyDescent="0.3">
      <c r="B30" s="7" t="s">
        <v>6200</v>
      </c>
      <c r="C30" s="8">
        <v>342.2</v>
      </c>
      <c r="D30" s="8">
        <v>284.24999999999994</v>
      </c>
      <c r="E30" s="8">
        <v>251.83</v>
      </c>
      <c r="F30" s="8">
        <v>80.550000000000011</v>
      </c>
    </row>
    <row r="31" spans="1:6" x14ac:dyDescent="0.3">
      <c r="B31" s="7" t="s">
        <v>6201</v>
      </c>
      <c r="C31" s="8">
        <v>418.30499999999989</v>
      </c>
      <c r="D31" s="8">
        <v>468.125</v>
      </c>
      <c r="E31" s="8">
        <v>405.05500000000006</v>
      </c>
      <c r="F31" s="8">
        <v>253.15499999999997</v>
      </c>
    </row>
    <row r="32" spans="1:6" x14ac:dyDescent="0.3">
      <c r="B32" s="7" t="s">
        <v>6202</v>
      </c>
      <c r="C32" s="8">
        <v>102.32999999999998</v>
      </c>
      <c r="D32" s="8">
        <v>242.14000000000001</v>
      </c>
      <c r="E32" s="8">
        <v>554.875</v>
      </c>
      <c r="F32" s="8">
        <v>106.23999999999998</v>
      </c>
    </row>
    <row r="33" spans="1:6" x14ac:dyDescent="0.3">
      <c r="B33" s="7" t="s">
        <v>6203</v>
      </c>
      <c r="C33" s="8">
        <v>234.71999999999997</v>
      </c>
      <c r="D33" s="8">
        <v>133.08000000000001</v>
      </c>
      <c r="E33" s="8">
        <v>267.2</v>
      </c>
      <c r="F33" s="8">
        <v>272.68999999999994</v>
      </c>
    </row>
    <row r="34" spans="1:6" x14ac:dyDescent="0.3">
      <c r="B34" s="7" t="s">
        <v>6204</v>
      </c>
      <c r="C34" s="8">
        <v>430.39</v>
      </c>
      <c r="D34" s="8">
        <v>136.20500000000001</v>
      </c>
      <c r="E34" s="8">
        <v>209.6</v>
      </c>
      <c r="F34" s="8">
        <v>88.334999999999994</v>
      </c>
    </row>
    <row r="35" spans="1:6" x14ac:dyDescent="0.3">
      <c r="B35" s="7" t="s">
        <v>6205</v>
      </c>
      <c r="C35" s="8">
        <v>109.005</v>
      </c>
      <c r="D35" s="8">
        <v>393.57499999999999</v>
      </c>
      <c r="E35" s="8">
        <v>61.034999999999997</v>
      </c>
      <c r="F35" s="8">
        <v>199.48999999999998</v>
      </c>
    </row>
    <row r="36" spans="1:6" x14ac:dyDescent="0.3">
      <c r="B36" s="7" t="s">
        <v>6206</v>
      </c>
      <c r="C36" s="8">
        <v>287.52499999999998</v>
      </c>
      <c r="D36" s="8">
        <v>288.67</v>
      </c>
      <c r="E36" s="8">
        <v>125.58</v>
      </c>
      <c r="F36" s="8">
        <v>374.13499999999999</v>
      </c>
    </row>
    <row r="37" spans="1:6" x14ac:dyDescent="0.3">
      <c r="B37" s="7" t="s">
        <v>6207</v>
      </c>
      <c r="C37" s="8">
        <v>840.92999999999984</v>
      </c>
      <c r="D37" s="8">
        <v>409.875</v>
      </c>
      <c r="E37" s="8">
        <v>171.32999999999998</v>
      </c>
      <c r="F37" s="8">
        <v>221.43999999999997</v>
      </c>
    </row>
    <row r="38" spans="1:6" x14ac:dyDescent="0.3">
      <c r="B38" s="7" t="s">
        <v>6208</v>
      </c>
      <c r="C38" s="8">
        <v>299.07</v>
      </c>
      <c r="D38" s="8">
        <v>260.32499999999999</v>
      </c>
      <c r="E38" s="8">
        <v>584.64</v>
      </c>
      <c r="F38" s="8">
        <v>256.36500000000001</v>
      </c>
    </row>
    <row r="39" spans="1:6" x14ac:dyDescent="0.3">
      <c r="B39" s="7" t="s">
        <v>6209</v>
      </c>
      <c r="C39" s="8">
        <v>323.32499999999999</v>
      </c>
      <c r="D39" s="8">
        <v>565.57000000000005</v>
      </c>
      <c r="E39" s="8">
        <v>537.80999999999995</v>
      </c>
      <c r="F39" s="8">
        <v>189.47499999999999</v>
      </c>
    </row>
    <row r="40" spans="1:6" x14ac:dyDescent="0.3">
      <c r="B40" s="7" t="s">
        <v>6210</v>
      </c>
      <c r="C40" s="8">
        <v>399.48499999999996</v>
      </c>
      <c r="D40" s="8">
        <v>148.19999999999999</v>
      </c>
      <c r="E40" s="8">
        <v>388.21999999999997</v>
      </c>
      <c r="F40" s="8">
        <v>212.07499999999999</v>
      </c>
    </row>
    <row r="41" spans="1:6" x14ac:dyDescent="0.3">
      <c r="A41" t="s">
        <v>6213</v>
      </c>
      <c r="B41" s="7" t="s">
        <v>6199</v>
      </c>
      <c r="C41" s="8">
        <v>112.69499999999999</v>
      </c>
      <c r="D41" s="8">
        <v>166.32</v>
      </c>
      <c r="E41" s="8">
        <v>843.71499999999992</v>
      </c>
      <c r="F41" s="8">
        <v>146.685</v>
      </c>
    </row>
    <row r="42" spans="1:6" x14ac:dyDescent="0.3">
      <c r="B42" s="7" t="s">
        <v>6200</v>
      </c>
      <c r="C42" s="8">
        <v>114.87999999999998</v>
      </c>
      <c r="D42" s="8">
        <v>133.815</v>
      </c>
      <c r="E42" s="8">
        <v>91.175000000000011</v>
      </c>
      <c r="F42" s="8">
        <v>53.759999999999991</v>
      </c>
    </row>
    <row r="43" spans="1:6" x14ac:dyDescent="0.3">
      <c r="B43" s="7" t="s">
        <v>6201</v>
      </c>
      <c r="C43" s="8">
        <v>277.76</v>
      </c>
      <c r="D43" s="8">
        <v>175.41</v>
      </c>
      <c r="E43" s="8">
        <v>462.50999999999993</v>
      </c>
      <c r="F43" s="8">
        <v>399.52499999999998</v>
      </c>
    </row>
    <row r="44" spans="1:6" x14ac:dyDescent="0.3">
      <c r="B44" s="7" t="s">
        <v>6202</v>
      </c>
      <c r="C44" s="8">
        <v>197.89499999999998</v>
      </c>
      <c r="D44" s="8">
        <v>289.755</v>
      </c>
      <c r="E44" s="8">
        <v>88.545000000000002</v>
      </c>
      <c r="F44" s="8">
        <v>200.25499999999997</v>
      </c>
    </row>
    <row r="45" spans="1:6" x14ac:dyDescent="0.3">
      <c r="B45" s="7" t="s">
        <v>6203</v>
      </c>
      <c r="C45" s="8">
        <v>193.11499999999998</v>
      </c>
      <c r="D45" s="8">
        <v>212.49499999999998</v>
      </c>
      <c r="E45" s="8">
        <v>292.29000000000002</v>
      </c>
      <c r="F45" s="8">
        <v>304.46999999999997</v>
      </c>
    </row>
    <row r="46" spans="1:6" x14ac:dyDescent="0.3">
      <c r="B46" s="7" t="s">
        <v>6204</v>
      </c>
      <c r="C46" s="8">
        <v>179.79</v>
      </c>
      <c r="D46" s="8">
        <v>426.2</v>
      </c>
      <c r="E46" s="8">
        <v>170.08999999999997</v>
      </c>
      <c r="F46" s="8">
        <v>379.31</v>
      </c>
    </row>
    <row r="47" spans="1:6" x14ac:dyDescent="0.3">
      <c r="B47" s="7" t="s">
        <v>6205</v>
      </c>
      <c r="C47" s="8">
        <v>247.28999999999996</v>
      </c>
      <c r="D47" s="8">
        <v>246.685</v>
      </c>
      <c r="E47" s="8">
        <v>271.05499999999995</v>
      </c>
      <c r="F47" s="8">
        <v>141.69999999999999</v>
      </c>
    </row>
    <row r="48" spans="1:6" x14ac:dyDescent="0.3">
      <c r="B48" s="7" t="s">
        <v>6206</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0CDE-EB42-4474-9E1D-3EC28FF743D3}">
  <dimension ref="A1:M6"/>
  <sheetViews>
    <sheetView zoomScale="90" zoomScaleNormal="90" workbookViewId="0">
      <selection activeCell="K3" sqref="K3"/>
    </sheetView>
  </sheetViews>
  <sheetFormatPr defaultRowHeight="14.4" x14ac:dyDescent="0.3"/>
  <cols>
    <col min="1" max="1" width="15.21875" bestFit="1" customWidth="1"/>
    <col min="2" max="2" width="12.109375" bestFit="1" customWidth="1"/>
    <col min="3" max="3" width="7.44140625" bestFit="1" customWidth="1"/>
    <col min="4" max="4" width="7.77734375" bestFit="1" customWidth="1"/>
    <col min="5" max="6" width="8.21875" bestFit="1" customWidth="1"/>
  </cols>
  <sheetData>
    <row r="1" spans="1:13" x14ac:dyDescent="0.3">
      <c r="M1" s="9"/>
    </row>
    <row r="3" spans="1:13" x14ac:dyDescent="0.3">
      <c r="A3" s="10" t="s">
        <v>7</v>
      </c>
      <c r="B3" t="s">
        <v>6219</v>
      </c>
    </row>
    <row r="4" spans="1:13" x14ac:dyDescent="0.3">
      <c r="A4" t="s">
        <v>28</v>
      </c>
      <c r="B4" s="11">
        <v>2798.5050000000001</v>
      </c>
    </row>
    <row r="5" spans="1:13" x14ac:dyDescent="0.3">
      <c r="A5" t="s">
        <v>318</v>
      </c>
      <c r="B5" s="11">
        <v>6696.8649999999989</v>
      </c>
    </row>
    <row r="6" spans="1:13" x14ac:dyDescent="0.3">
      <c r="A6" t="s">
        <v>19</v>
      </c>
      <c r="B6" s="11">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432E1-4905-430D-8628-DB1C230E4F31}">
  <dimension ref="A1:M8"/>
  <sheetViews>
    <sheetView zoomScale="90" zoomScaleNormal="90" workbookViewId="0">
      <selection activeCell="B4" sqref="B4"/>
    </sheetView>
  </sheetViews>
  <sheetFormatPr defaultRowHeight="14.4" x14ac:dyDescent="0.3"/>
  <cols>
    <col min="1" max="1" width="17.88671875" bestFit="1" customWidth="1"/>
    <col min="2" max="2" width="12.109375" bestFit="1" customWidth="1"/>
    <col min="3" max="3" width="7.44140625" bestFit="1" customWidth="1"/>
    <col min="4" max="4" width="7.77734375" bestFit="1" customWidth="1"/>
    <col min="5" max="6" width="8.21875" bestFit="1" customWidth="1"/>
  </cols>
  <sheetData>
    <row r="1" spans="1:13" x14ac:dyDescent="0.3">
      <c r="M1" s="9"/>
    </row>
    <row r="3" spans="1:13" x14ac:dyDescent="0.3">
      <c r="A3" s="6" t="s">
        <v>4</v>
      </c>
      <c r="B3" t="s">
        <v>6219</v>
      </c>
    </row>
    <row r="4" spans="1:13" x14ac:dyDescent="0.3">
      <c r="A4" t="s">
        <v>3753</v>
      </c>
      <c r="B4" s="11">
        <v>278.01</v>
      </c>
    </row>
    <row r="5" spans="1:13" x14ac:dyDescent="0.3">
      <c r="A5" t="s">
        <v>1598</v>
      </c>
      <c r="B5" s="11">
        <v>281.67499999999995</v>
      </c>
    </row>
    <row r="6" spans="1:13" x14ac:dyDescent="0.3">
      <c r="A6" t="s">
        <v>2587</v>
      </c>
      <c r="B6" s="11">
        <v>289.11</v>
      </c>
    </row>
    <row r="7" spans="1:13" x14ac:dyDescent="0.3">
      <c r="A7" t="s">
        <v>5765</v>
      </c>
      <c r="B7" s="11">
        <v>307.04499999999996</v>
      </c>
    </row>
    <row r="8" spans="1:13" x14ac:dyDescent="0.3">
      <c r="A8" t="s">
        <v>5114</v>
      </c>
      <c r="B8" s="11">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90" zoomScaleNormal="90" workbookViewId="0">
      <selection activeCell="P2" sqref="P2"/>
    </sheetView>
  </sheetViews>
  <sheetFormatPr defaultRowHeight="14.4" x14ac:dyDescent="0.3"/>
  <cols>
    <col min="1" max="1" width="16.5546875" bestFit="1" customWidth="1"/>
    <col min="2" max="2" width="13.6640625" bestFit="1" customWidth="1"/>
    <col min="3" max="3" width="17.44140625" bestFit="1" customWidth="1"/>
    <col min="4" max="4" width="12.21875" customWidth="1"/>
    <col min="5" max="5" width="10.6640625" customWidth="1"/>
    <col min="6" max="6" width="18.33203125" customWidth="1"/>
    <col min="7" max="7" width="37.88671875" bestFit="1" customWidth="1"/>
    <col min="8" max="8" width="13.6640625" customWidth="1"/>
    <col min="9" max="9" width="13.33203125" customWidth="1"/>
    <col min="10" max="10" width="12.5546875" customWidth="1"/>
    <col min="11" max="11" width="6.44140625" customWidth="1"/>
    <col min="12" max="12" width="11.44140625" customWidth="1"/>
    <col min="13" max="13" width="9.44140625" bestFit="1" customWidth="1"/>
    <col min="14" max="14" width="19" customWidth="1"/>
    <col min="15" max="15" width="18.21875"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Oyinkansola</dc:creator>
  <cp:keywords/>
  <dc:description/>
  <cp:lastModifiedBy>Dokman Newage</cp:lastModifiedBy>
  <cp:revision/>
  <dcterms:created xsi:type="dcterms:W3CDTF">2022-11-26T09:51:45Z</dcterms:created>
  <dcterms:modified xsi:type="dcterms:W3CDTF">2026-08-17T21:23:53Z</dcterms:modified>
  <cp:category/>
  <cp:contentStatus/>
</cp:coreProperties>
</file>